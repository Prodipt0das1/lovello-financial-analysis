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di\Downloads\Documents\"/>
    </mc:Choice>
  </mc:AlternateContent>
  <xr:revisionPtr revIDLastSave="0" documentId="13_ncr:1_{B000AB79-D90B-4BB1-8EC9-B3CA19A5366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omparative Income Statement" sheetId="1" r:id="rId1"/>
    <sheet name="Comparative Balance Sheet" sheetId="2" r:id="rId2"/>
    <sheet name="4-Year Working Capital Ratios" sheetId="3" r:id="rId3"/>
    <sheet name="4-Year AFN Estimate" sheetId="4" r:id="rId4"/>
    <sheet name="Sensivity to AF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<sst xmlns="http://schemas.openxmlformats.org/spreadsheetml/2006/main" count="261" uniqueCount="148">
  <si>
    <t>Particulars</t>
  </si>
  <si>
    <t>FY 2020-21</t>
  </si>
  <si>
    <t>FY 2022-23</t>
  </si>
  <si>
    <t>FY 2023-24</t>
  </si>
  <si>
    <t>FY 2024-25</t>
  </si>
  <si>
    <t>Sales / Revenue</t>
  </si>
  <si>
    <t>Less: Cost of Goods Sold (COGS)</t>
  </si>
  <si>
    <t>Gross Profit</t>
  </si>
  <si>
    <t>Administrative Expenses</t>
  </si>
  <si>
    <t>Marketing &amp; Selling Expenses</t>
  </si>
  <si>
    <t>Total Operating Expenses</t>
  </si>
  <si>
    <t>Operating Income (EBIT / Operating Income)</t>
  </si>
  <si>
    <t>Finance Cost / Financial Expenses</t>
  </si>
  <si>
    <t>Profit Before Other Income</t>
  </si>
  <si>
    <t>Other Income</t>
  </si>
  <si>
    <t>Net Profit Before WPPF</t>
  </si>
  <si>
    <t>Provision for WPPF</t>
  </si>
  <si>
    <t>Net Profit Before Tax (EBT)</t>
  </si>
  <si>
    <t>Current Tax</t>
  </si>
  <si>
    <t>Deferred Tax</t>
  </si>
  <si>
    <t>Total Income Tax Expense</t>
  </si>
  <si>
    <t>Net Profit After Tax (NPAT)</t>
  </si>
  <si>
    <t>Total Comprehensive Income</t>
  </si>
  <si>
    <t>Earnings Per Share (EPS)</t>
  </si>
  <si>
    <t>A. NON-CURRENT ASSETS</t>
  </si>
  <si>
    <t>-</t>
  </si>
  <si>
    <t>Property, Plant &amp; Equipments</t>
  </si>
  <si>
    <t>Right-of-Use (ROU) Assets</t>
  </si>
  <si>
    <t>Intangible Assets</t>
  </si>
  <si>
    <t>Capital Work-in-Progress</t>
  </si>
  <si>
    <t>Investment</t>
  </si>
  <si>
    <t>TOTAL NON-CURRENT ASSETS (A)</t>
  </si>
  <si>
    <t>B. CURRENT ASSETS</t>
  </si>
  <si>
    <t>Inventories</t>
  </si>
  <si>
    <t>Trade &amp; Other Receivables</t>
  </si>
  <si>
    <t>Inter-company Receivables</t>
  </si>
  <si>
    <t>Advance, Deposits &amp; Prepayments</t>
  </si>
  <si>
    <t>Cash and Cash Equivalents</t>
  </si>
  <si>
    <t>TOTAL CURRENT ASSETS (B)</t>
  </si>
  <si>
    <t>TOTAL ASSETS (A+B)</t>
  </si>
  <si>
    <t>C. SHAREHOLDERS' EQUITY</t>
  </si>
  <si>
    <t>Share Capital</t>
  </si>
  <si>
    <t>Retained Earnings</t>
  </si>
  <si>
    <t>TOTAL SHAREHOLDERS' EQUITY (C)</t>
  </si>
  <si>
    <t>D. NON-CURRENT LIABILITIES</t>
  </si>
  <si>
    <t>Deferred Tax Liability</t>
  </si>
  <si>
    <t>Long-term Loan</t>
  </si>
  <si>
    <t>Lease Liability</t>
  </si>
  <si>
    <t>TOTAL NON-CURRENT LIABILITIES (D)</t>
  </si>
  <si>
    <t>E. CURRENT LIABILITIES</t>
  </si>
  <si>
    <t>Current Portion of Long-term Loan</t>
  </si>
  <si>
    <t>Current Portion of Lease Loan</t>
  </si>
  <si>
    <t>Short-Term Loan</t>
  </si>
  <si>
    <t>Trade &amp; Other Payables</t>
  </si>
  <si>
    <t>Liabilities for Expenses</t>
  </si>
  <si>
    <t>Provision for Income Tax</t>
  </si>
  <si>
    <t>Unclaimed / Undisbursed Dividend</t>
  </si>
  <si>
    <t>TOTAL CURRENT LIABILITIES (E)</t>
  </si>
  <si>
    <t>TOTAL EQUITY &amp; LIABILITIES</t>
  </si>
  <si>
    <t>LIQUIDITY RATIOS</t>
  </si>
  <si>
    <t>Current Ratio</t>
  </si>
  <si>
    <t>Quick Ratio</t>
  </si>
  <si>
    <t>Cash Ratio</t>
  </si>
  <si>
    <t>Receivables to Current Liabilities</t>
  </si>
  <si>
    <t>Current Liability Ratio (CL/Total Liabilities)</t>
  </si>
  <si>
    <t>Working Capital to Debt Ratio</t>
  </si>
  <si>
    <t>Defensive Interval (days)</t>
  </si>
  <si>
    <t>EFFICIENCY / ACTIVITY RATIOS</t>
  </si>
  <si>
    <t>Inventory to Working Capital Ratio</t>
  </si>
  <si>
    <t>Inventory Turnover Period / DIO (days)</t>
  </si>
  <si>
    <t>Receivables Collection Period / DSO (days)</t>
  </si>
  <si>
    <t>Payables Period / DPO (days)</t>
  </si>
  <si>
    <t>Working Capital Turnover Ratio</t>
  </si>
  <si>
    <t>ASSET STRUCTURE RATIOS</t>
  </si>
  <si>
    <t>Current Assets to Total Assets</t>
  </si>
  <si>
    <t>Current Liabilities to Total Assets (CL/TA)</t>
  </si>
  <si>
    <t>Current Liabilities to Total Liab. Ratio</t>
  </si>
  <si>
    <t>COMPOSITION RATIOS (within Current Assets)</t>
  </si>
  <si>
    <t>Cash to Current Assets Ratio</t>
  </si>
  <si>
    <t>Receivables to Current Assets Ratio</t>
  </si>
  <si>
    <t>Inventory to Current Assets Ratio</t>
  </si>
  <si>
    <t>Accounts Receivables to Sales</t>
  </si>
  <si>
    <t>Net Working Capital to Revenues</t>
  </si>
  <si>
    <t>WORKING CAPITAL CYCLE</t>
  </si>
  <si>
    <t>Operating Cycle (days) = DIO + DSO</t>
  </si>
  <si>
    <t>Cash Cycle / CCC (days) = DIO + DSO - DPO</t>
  </si>
  <si>
    <t>WORKING CAPITAL POLICY RATIOS</t>
  </si>
  <si>
    <t>Investment Policy: CA/FA</t>
  </si>
  <si>
    <t>Financing Policy: CL/TL</t>
  </si>
  <si>
    <t>AFN INPUTS (from Financial Statements)</t>
  </si>
  <si>
    <t>Sales (S0) - Base Year</t>
  </si>
  <si>
    <t>Assumed Sales Growth Rate (g)</t>
  </si>
  <si>
    <t>Projected Sales (S1 = S0 × (1+g))</t>
  </si>
  <si>
    <t>Change in Sales (ΔS = S1 - S0)</t>
  </si>
  <si>
    <t>Total Assets (A0)</t>
  </si>
  <si>
    <t>Assets-to-Sales Ratio (A0/S0)</t>
  </si>
  <si>
    <t>Spontaneous Liabilities (L0)</t>
  </si>
  <si>
    <t>Liabilities-to-Sales Ratio (L0/S0)</t>
  </si>
  <si>
    <t>Net Profit Margin (M)</t>
  </si>
  <si>
    <t>Dividend Payout Ratio (d)</t>
  </si>
  <si>
    <t>Retention Ratio (b = 1 - d)</t>
  </si>
  <si>
    <t>AFN CALCULATION</t>
  </si>
  <si>
    <t>Required New Assets (A0/S0 × ΔS)</t>
  </si>
  <si>
    <t>Spontaneous Liab. Increase (L0/S0 × ΔS)</t>
  </si>
  <si>
    <t>Retained Earnings Addition (M × S1 × b)</t>
  </si>
  <si>
    <t>AFN = Req. Assets - Spont. Liab. - RE</t>
  </si>
  <si>
    <t>TAUFIKA FOODS AND LOVELLO ICE-CREAM PLC</t>
  </si>
  <si>
    <t>Statement of Profit or Loss and Other Comprehensive Income</t>
  </si>
  <si>
    <t>Statement of Financial Position</t>
  </si>
  <si>
    <t xml:space="preserve">Working Capital Ratios </t>
  </si>
  <si>
    <t xml:space="preserve">Additional Funds Needed (AFN) Model </t>
  </si>
  <si>
    <t>FY 2021-22</t>
  </si>
  <si>
    <t>FY 2020-21 (BDT)</t>
  </si>
  <si>
    <t>FY 2021-22 (BDT)</t>
  </si>
  <si>
    <t>FY 2022-23 (BDT)</t>
  </si>
  <si>
    <t>FY 2023-24 (BDT)</t>
  </si>
  <si>
    <t>FY 2024-25 (BDT)</t>
  </si>
  <si>
    <t>Sensitivity of AFN to Sales Growth Rate</t>
  </si>
  <si>
    <t>FY 20-21</t>
  </si>
  <si>
    <t>FY 21-22</t>
  </si>
  <si>
    <t>FY 22-23</t>
  </si>
  <si>
    <t>FY 23-24</t>
  </si>
  <si>
    <t>FY 24-25</t>
  </si>
  <si>
    <t>Year</t>
  </si>
  <si>
    <t>20% Sales Growth</t>
  </si>
  <si>
    <t>25% Sales Growth</t>
  </si>
  <si>
    <t>30% Sales Growth</t>
  </si>
  <si>
    <t>A0 = Current Level of Asset</t>
  </si>
  <si>
    <t>S0 = Current Sales</t>
  </si>
  <si>
    <t>ΔS = Change in Sales</t>
  </si>
  <si>
    <t>L0 = Spontaneous Liabilities</t>
  </si>
  <si>
    <t>PM = Profit Margin</t>
  </si>
  <si>
    <t>S1 = New or Expected Sales</t>
  </si>
  <si>
    <t>d = Dividend Payout Ratio</t>
  </si>
  <si>
    <t>Retention Ratio (1-d)</t>
  </si>
  <si>
    <t>AFN</t>
  </si>
  <si>
    <t>Sensitivity of AFN to Profit Margin</t>
  </si>
  <si>
    <t>15% Profit Margin</t>
  </si>
  <si>
    <t>20% Profit Margin</t>
  </si>
  <si>
    <t>25% Profit Margin</t>
  </si>
  <si>
    <t>Sensitivity of AFN to Retention Ratio</t>
  </si>
  <si>
    <t>Retention @ 80%</t>
  </si>
  <si>
    <t>Retention @ 90%</t>
  </si>
  <si>
    <t>Retention @ 100%</t>
  </si>
  <si>
    <t>Sensitivity of AFN to Capital Intensity (Assets)</t>
  </si>
  <si>
    <t>Asset Decrease by 10%</t>
  </si>
  <si>
    <t>Asset Increase by 10%</t>
  </si>
  <si>
    <t>Asset Increase by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</si>
</sst>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BDT]\ 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Times New Roman"/>
      <family val="1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1F4E79"/>
        <bgColor rgb="FF003366"/>
      </patternFill>
    </fill>
    <fill>
      <patternFill patternType="solid">
        <fgColor theme="4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4" fontId="2" fillId="0" borderId="1" xfId="0" applyNumberFormat="1" applyFont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2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2" fontId="2" fillId="0" borderId="1" xfId="0" applyNumberFormat="1" applyFont="1" applyBorder="1"/>
    <xf numFmtId="9" fontId="2" fillId="0" borderId="1" xfId="1" applyFont="1" applyBorder="1" applyAlignment="1">
      <alignment horizontal="right"/>
    </xf>
    <xf numFmtId="9" fontId="1" fillId="4" borderId="1" xfId="1" applyFont="1" applyFill="1" applyBorder="1"/>
    <xf numFmtId="0" fontId="2" fillId="0" borderId="2" xfId="0" applyFont="1" applyBorder="1"/>
    <xf numFmtId="4" fontId="2" fillId="0" borderId="2" xfId="0" applyNumberFormat="1" applyFont="1" applyBorder="1"/>
    <xf numFmtId="10" fontId="2" fillId="0" borderId="1" xfId="0" applyNumberFormat="1" applyFont="1" applyBorder="1"/>
    <xf numFmtId="10" fontId="2" fillId="0" borderId="1" xfId="0" applyNumberFormat="1" applyFont="1" applyBorder="1" applyAlignment="1">
      <alignment horizontal="right"/>
    </xf>
    <xf numFmtId="4" fontId="3" fillId="3" borderId="1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7" fillId="2" borderId="0" xfId="0" applyFont="1" applyFill="1" applyAlignment="1">
      <alignment horizontal="center"/>
    </xf>
    <xf numFmtId="0" fontId="2" fillId="0" borderId="1" xfId="1" applyNumberFormat="1" applyFont="1" applyBorder="1" applyAlignment="1">
      <alignment horizontal="right"/>
    </xf>
    <xf numFmtId="164" fontId="2" fillId="0" borderId="1" xfId="0" applyNumberFormat="1" applyFont="1" applyBorder="1"/>
    <xf numFmtId="164" fontId="3" fillId="3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0" fontId="10" fillId="0" borderId="0" xfId="0" applyFont="1"/>
    <xf numFmtId="10" fontId="9" fillId="8" borderId="0" xfId="0" applyNumberFormat="1" applyFont="1" applyFill="1"/>
    <xf numFmtId="0" fontId="9" fillId="3" borderId="7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7" xfId="0" applyFont="1" applyBorder="1"/>
    <xf numFmtId="3" fontId="0" fillId="0" borderId="7" xfId="0" applyNumberFormat="1" applyBorder="1"/>
    <xf numFmtId="3" fontId="0" fillId="0" borderId="0" xfId="0" applyNumberFormat="1"/>
    <xf numFmtId="10" fontId="0" fillId="0" borderId="7" xfId="0" applyNumberFormat="1" applyBorder="1"/>
    <xf numFmtId="0" fontId="9" fillId="9" borderId="7" xfId="0" applyFont="1" applyFill="1" applyBorder="1"/>
    <xf numFmtId="3" fontId="9" fillId="9" borderId="7" xfId="0" applyNumberFormat="1" applyFont="1" applyFill="1" applyBorder="1"/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43" fontId="6" fillId="6" borderId="5" xfId="0" applyNumberFormat="1" applyFont="1" applyFill="1" applyBorder="1" applyAlignment="1">
      <alignment horizontal="center" vertical="center" wrapText="1"/>
    </xf>
    <xf numFmtId="43" fontId="6" fillId="7" borderId="5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 outline="0">
        <bottom style="thin">
          <color rgb="FFD4D4D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Ratios'!$D$6:$H$6</c:f>
              <c:numCache>
                <c:formatCode>0.00</c:formatCode>
                <c:ptCount val="5"/>
                <c:pt idx="0">
                  <c:v>1.43</c:v>
                </c:pt>
                <c:pt idx="1">
                  <c:v>1.4724999999999999</c:v>
                </c:pt>
                <c:pt idx="2">
                  <c:v>1.47</c:v>
                </c:pt>
                <c:pt idx="3">
                  <c:v>1.63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7-427A-A50E-4F5DCC6436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591088"/>
        <c:axId val="155590128"/>
      </c:lineChart>
      <c:catAx>
        <c:axId val="1555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0128"/>
        <c:crosses val="autoZero"/>
        <c:auto val="1"/>
        <c:lblAlgn val="ctr"/>
        <c:lblOffset val="100"/>
        <c:noMultiLvlLbl val="0"/>
      </c:catAx>
      <c:valAx>
        <c:axId val="1555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Ratio vs Quick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 Ratio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Ratios'!$D$5:$H$5</c:f>
              <c:numCache>
                <c:formatCode>0.00</c:formatCode>
                <c:ptCount val="5"/>
                <c:pt idx="0">
                  <c:v>2.1800000000000002</c:v>
                </c:pt>
                <c:pt idx="1">
                  <c:v>2.2911000000000001</c:v>
                </c:pt>
                <c:pt idx="2">
                  <c:v>2.36</c:v>
                </c:pt>
                <c:pt idx="3">
                  <c:v>2.61</c:v>
                </c:pt>
                <c:pt idx="4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6-49F7-A471-C002B361CF0A}"/>
            </c:ext>
          </c:extLst>
        </c:ser>
        <c:ser>
          <c:idx val="1"/>
          <c:order val="1"/>
          <c:tx>
            <c:v>Quick Ratio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Ratios'!$E$6:$H$6</c:f>
              <c:numCache>
                <c:formatCode>0.00</c:formatCode>
                <c:ptCount val="4"/>
                <c:pt idx="0">
                  <c:v>1.4724999999999999</c:v>
                </c:pt>
                <c:pt idx="1">
                  <c:v>1.47</c:v>
                </c:pt>
                <c:pt idx="2">
                  <c:v>1.63</c:v>
                </c:pt>
                <c:pt idx="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0-47CD-914F-2FA0619E40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9752208"/>
        <c:axId val="1989760368"/>
      </c:lineChart>
      <c:catAx>
        <c:axId val="198975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60368"/>
        <c:crosses val="autoZero"/>
        <c:auto val="1"/>
        <c:lblAlgn val="ctr"/>
        <c:lblOffset val="100"/>
        <c:noMultiLvlLbl val="0"/>
      </c:catAx>
      <c:valAx>
        <c:axId val="19897603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5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Defensive</a:t>
            </a:r>
            <a:r>
              <a:rPr lang="en-US" baseline="0"/>
              <a:t> Interval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Ratios'!$D$11:$H$11</c:f>
              <c:numCache>
                <c:formatCode>0.00</c:formatCode>
                <c:ptCount val="5"/>
                <c:pt idx="0">
                  <c:v>331.14</c:v>
                </c:pt>
                <c:pt idx="1">
                  <c:v>1514.1180999999999</c:v>
                </c:pt>
                <c:pt idx="2">
                  <c:v>297.17</c:v>
                </c:pt>
                <c:pt idx="3">
                  <c:v>2168.88</c:v>
                </c:pt>
                <c:pt idx="4">
                  <c:v>658.32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5-4635-8516-F8C370089A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9747408"/>
        <c:axId val="1989755088"/>
      </c:lineChart>
      <c:catAx>
        <c:axId val="198974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55088"/>
        <c:crosses val="autoZero"/>
        <c:auto val="1"/>
        <c:lblAlgn val="ctr"/>
        <c:lblOffset val="100"/>
        <c:noMultiLvlLbl val="0"/>
      </c:catAx>
      <c:valAx>
        <c:axId val="198975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4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Ratios'!$D$7:$H$7</c:f>
              <c:numCache>
                <c:formatCode>0.00</c:formatCode>
                <c:ptCount val="5"/>
                <c:pt idx="0">
                  <c:v>0.43</c:v>
                </c:pt>
                <c:pt idx="1">
                  <c:v>0.28120000000000001</c:v>
                </c:pt>
                <c:pt idx="2">
                  <c:v>0.27</c:v>
                </c:pt>
                <c:pt idx="3">
                  <c:v>0.31</c:v>
                </c:pt>
                <c:pt idx="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B-403F-B205-75B2545499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2020768"/>
        <c:axId val="162020288"/>
      </c:lineChart>
      <c:catAx>
        <c:axId val="1620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0288"/>
        <c:crosses val="autoZero"/>
        <c:auto val="1"/>
        <c:lblAlgn val="ctr"/>
        <c:lblOffset val="100"/>
        <c:noMultiLvlLbl val="0"/>
      </c:catAx>
      <c:valAx>
        <c:axId val="1620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Receivables to Current Liabilities</a:t>
            </a: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Ratios'!$D$8:$H$8</c:f>
              <c:numCache>
                <c:formatCode>0.00</c:formatCode>
                <c:ptCount val="5"/>
                <c:pt idx="0">
                  <c:v>0.74</c:v>
                </c:pt>
                <c:pt idx="1">
                  <c:v>0.79749999999999999</c:v>
                </c:pt>
                <c:pt idx="2">
                  <c:v>0.79</c:v>
                </c:pt>
                <c:pt idx="3">
                  <c:v>0.86</c:v>
                </c:pt>
                <c:pt idx="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0-48BE-BA31-4250577D64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593488"/>
        <c:axId val="155589648"/>
      </c:lineChart>
      <c:catAx>
        <c:axId val="15559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9648"/>
        <c:crosses val="autoZero"/>
        <c:auto val="1"/>
        <c:lblAlgn val="ctr"/>
        <c:lblOffset val="100"/>
        <c:noMultiLvlLbl val="0"/>
      </c:catAx>
      <c:valAx>
        <c:axId val="1555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Cash to Current Assets Ratio</a:t>
            </a: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Ratios'!$D$23:$H$23</c:f>
              <c:numCache>
                <c:formatCode>0%</c:formatCode>
                <c:ptCount val="5"/>
                <c:pt idx="0" formatCode="0.00%">
                  <c:v>0.1978</c:v>
                </c:pt>
                <c:pt idx="1">
                  <c:v>0.1227</c:v>
                </c:pt>
                <c:pt idx="2">
                  <c:v>0.11</c:v>
                </c:pt>
                <c:pt idx="3">
                  <c:v>0.12</c:v>
                </c:pt>
                <c:pt idx="4" formatCode="0.00%">
                  <c:v>6.6400000000000001E-2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7-4E72-853A-42A0A09ECF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520080"/>
        <c:axId val="134521040"/>
      </c:lineChart>
      <c:catAx>
        <c:axId val="13452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21040"/>
        <c:crosses val="autoZero"/>
        <c:auto val="1"/>
        <c:lblAlgn val="ctr"/>
        <c:lblOffset val="100"/>
        <c:noMultiLvlLbl val="0"/>
      </c:catAx>
      <c:valAx>
        <c:axId val="1345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Receivables to Current Assets Ratio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Ratios'!$D$24:$H$24</c:f>
              <c:numCache>
                <c:formatCode>0%</c:formatCode>
                <c:ptCount val="5"/>
                <c:pt idx="0" formatCode="0.00%">
                  <c:v>0.34139999999999998</c:v>
                </c:pt>
                <c:pt idx="1">
                  <c:v>0.34810000000000002</c:v>
                </c:pt>
                <c:pt idx="2">
                  <c:v>0.33</c:v>
                </c:pt>
                <c:pt idx="3">
                  <c:v>0.33</c:v>
                </c:pt>
                <c:pt idx="4" formatCode="0.00%">
                  <c:v>0.27860000000000001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0-4DBE-9531-C645027FD3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2894464"/>
        <c:axId val="2092902624"/>
      </c:barChart>
      <c:catAx>
        <c:axId val="209289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02624"/>
        <c:crosses val="autoZero"/>
        <c:auto val="1"/>
        <c:lblAlgn val="ctr"/>
        <c:lblOffset val="100"/>
        <c:noMultiLvlLbl val="0"/>
      </c:catAx>
      <c:valAx>
        <c:axId val="20929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9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to Current Assets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Ratios'!$D$25:$H$25</c:f>
              <c:numCache>
                <c:formatCode>0%</c:formatCode>
                <c:ptCount val="5"/>
                <c:pt idx="0" formatCode="0.00%">
                  <c:v>0.34239999999999998</c:v>
                </c:pt>
                <c:pt idx="1">
                  <c:v>0.35730000000000001</c:v>
                </c:pt>
                <c:pt idx="2">
                  <c:v>0.38</c:v>
                </c:pt>
                <c:pt idx="3">
                  <c:v>0.37</c:v>
                </c:pt>
                <c:pt idx="4" formatCode="0.00%">
                  <c:v>0.27900000000000003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9-4C0A-9930-619CDEE6CE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413392"/>
        <c:axId val="148415312"/>
      </c:barChart>
      <c:catAx>
        <c:axId val="1484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5312"/>
        <c:crosses val="autoZero"/>
        <c:auto val="1"/>
        <c:lblAlgn val="ctr"/>
        <c:lblOffset val="100"/>
        <c:noMultiLvlLbl val="0"/>
      </c:catAx>
      <c:valAx>
        <c:axId val="1484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Inventory Turnover Period / DIO (days)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Ratios'!$D$14:$H$14</c:f>
              <c:numCache>
                <c:formatCode>0.00</c:formatCode>
                <c:ptCount val="5"/>
                <c:pt idx="0">
                  <c:v>221.06</c:v>
                </c:pt>
                <c:pt idx="1">
                  <c:v>238.99860000000001</c:v>
                </c:pt>
                <c:pt idx="2">
                  <c:v>315.02</c:v>
                </c:pt>
                <c:pt idx="3">
                  <c:v>316.8</c:v>
                </c:pt>
                <c:pt idx="4">
                  <c:v>318.87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C-475E-A4B4-8885004213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7910864"/>
        <c:axId val="1987912304"/>
      </c:lineChart>
      <c:catAx>
        <c:axId val="19879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12304"/>
        <c:crosses val="autoZero"/>
        <c:auto val="1"/>
        <c:lblAlgn val="ctr"/>
        <c:lblOffset val="100"/>
        <c:noMultiLvlLbl val="0"/>
      </c:catAx>
      <c:valAx>
        <c:axId val="19879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9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Receivables Collection Period / DSO (days)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Ratios'!$D$15:$H$15</c:f>
              <c:numCache>
                <c:formatCode>0.00</c:formatCode>
                <c:ptCount val="5"/>
                <c:pt idx="0">
                  <c:v>128.21</c:v>
                </c:pt>
                <c:pt idx="1">
                  <c:v>135.11709999999999</c:v>
                </c:pt>
                <c:pt idx="2">
                  <c:v>165.01</c:v>
                </c:pt>
                <c:pt idx="3">
                  <c:v>161.82</c:v>
                </c:pt>
                <c:pt idx="4">
                  <c:v>183.65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C-4DBD-9E55-826641D41A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3303712"/>
        <c:axId val="1913300352"/>
      </c:lineChart>
      <c:catAx>
        <c:axId val="1913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00352"/>
        <c:crosses val="autoZero"/>
        <c:auto val="1"/>
        <c:lblAlgn val="ctr"/>
        <c:lblOffset val="100"/>
        <c:noMultiLvlLbl val="0"/>
      </c:catAx>
      <c:valAx>
        <c:axId val="19133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Payables Period / DPO (days)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Ratios'!$D$16:$H$16</c:f>
              <c:numCache>
                <c:formatCode>0.00</c:formatCode>
                <c:ptCount val="5"/>
                <c:pt idx="0">
                  <c:v>46.44</c:v>
                </c:pt>
                <c:pt idx="1">
                  <c:v>6.5906000000000002</c:v>
                </c:pt>
                <c:pt idx="2">
                  <c:v>37.909999999999997</c:v>
                </c:pt>
                <c:pt idx="3">
                  <c:v>9.5500000000000007</c:v>
                </c:pt>
                <c:pt idx="4">
                  <c:v>126.17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D1-4DF4-A7AE-1D2112880C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203936"/>
        <c:axId val="153198656"/>
      </c:lineChart>
      <c:catAx>
        <c:axId val="1532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8656"/>
        <c:crosses val="autoZero"/>
        <c:auto val="1"/>
        <c:lblAlgn val="ctr"/>
        <c:lblOffset val="100"/>
        <c:noMultiLvlLbl val="0"/>
      </c:catAx>
      <c:valAx>
        <c:axId val="1531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Operating Cycle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Ratios'!$D$29:$H$29</c:f>
              <c:numCache>
                <c:formatCode>0.00</c:formatCode>
                <c:ptCount val="5"/>
                <c:pt idx="0">
                  <c:v>349.26</c:v>
                </c:pt>
                <c:pt idx="1">
                  <c:v>374.11559999999997</c:v>
                </c:pt>
                <c:pt idx="2">
                  <c:v>480.03</c:v>
                </c:pt>
                <c:pt idx="3">
                  <c:v>478.63</c:v>
                </c:pt>
                <c:pt idx="4">
                  <c:v>502.52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5-4A0B-92CB-786F295F8F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658304"/>
        <c:axId val="180662144"/>
      </c:lineChart>
      <c:catAx>
        <c:axId val="1806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62144"/>
        <c:crosses val="autoZero"/>
        <c:auto val="1"/>
        <c:lblAlgn val="ctr"/>
        <c:lblOffset val="100"/>
        <c:noMultiLvlLbl val="0"/>
      </c:catAx>
      <c:valAx>
        <c:axId val="1806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Cash Cycle / CCC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Ratios'!$D$30:$H$30</c:f>
              <c:numCache>
                <c:formatCode>0.00</c:formatCode>
                <c:ptCount val="5"/>
                <c:pt idx="0">
                  <c:v>302.82</c:v>
                </c:pt>
                <c:pt idx="1">
                  <c:v>367.52499999999998</c:v>
                </c:pt>
                <c:pt idx="2">
                  <c:v>442.13</c:v>
                </c:pt>
                <c:pt idx="3">
                  <c:v>469.08</c:v>
                </c:pt>
                <c:pt idx="4">
                  <c:v>376.35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A-474D-8C03-18BE177BFE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0982944"/>
        <c:axId val="2090984384"/>
      </c:lineChart>
      <c:catAx>
        <c:axId val="209098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984384"/>
        <c:crosses val="autoZero"/>
        <c:auto val="1"/>
        <c:lblAlgn val="ctr"/>
        <c:lblOffset val="100"/>
        <c:noMultiLvlLbl val="0"/>
      </c:catAx>
      <c:valAx>
        <c:axId val="20909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98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'4-Year Working Capital Ratios'!$D$5:$H$5</c:f>
              <c:numCache>
                <c:formatCode>0.00</c:formatCode>
                <c:ptCount val="5"/>
                <c:pt idx="0">
                  <c:v>2.1800000000000002</c:v>
                </c:pt>
                <c:pt idx="1">
                  <c:v>2.2911000000000001</c:v>
                </c:pt>
                <c:pt idx="2">
                  <c:v>2.36</c:v>
                </c:pt>
                <c:pt idx="3">
                  <c:v>2.61</c:v>
                </c:pt>
                <c:pt idx="4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F-4A31-A62D-A06FF3E682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2056639"/>
        <c:axId val="392071999"/>
      </c:lineChart>
      <c:catAx>
        <c:axId val="392056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71999"/>
        <c:crosses val="autoZero"/>
        <c:auto val="1"/>
        <c:lblAlgn val="ctr"/>
        <c:lblOffset val="100"/>
        <c:noMultiLvlLbl val="0"/>
      </c:catAx>
      <c:valAx>
        <c:axId val="3920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5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1</xdr:row>
      <xdr:rowOff>82550</xdr:rowOff>
    </xdr:from>
    <xdr:to>
      <xdr:col>16</xdr:col>
      <xdr:colOff>365125</xdr:colOff>
      <xdr:row>16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33ADF3-1A20-F3A2-70CB-B149932D6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15875</xdr:colOff>
      <xdr:row>17</xdr:row>
      <xdr:rowOff>101600</xdr:rowOff>
    </xdr:from>
    <xdr:to>
      <xdr:col>16</xdr:col>
      <xdr:colOff>320675</xdr:colOff>
      <xdr:row>32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A7EDE8-56A4-23B8-3A4A-BEFA7DF59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35</xdr:row>
      <xdr:rowOff>12700</xdr:rowOff>
    </xdr:from>
    <xdr:to>
      <xdr:col>5</xdr:col>
      <xdr:colOff>419100</xdr:colOff>
      <xdr:row>49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34B2B1-9868-4243-B855-FAD0182C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69850</xdr:colOff>
      <xdr:row>1</xdr:row>
      <xdr:rowOff>76200</xdr:rowOff>
    </xdr:from>
    <xdr:to>
      <xdr:col>24</xdr:col>
      <xdr:colOff>374650</xdr:colOff>
      <xdr:row>16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71F07C-7631-43DF-A1A6-48E662D7D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13</xdr:col>
      <xdr:colOff>50800</xdr:colOff>
      <xdr:row>49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D62B14-F2D9-4A14-8E27-E6371A410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21</xdr:col>
      <xdr:colOff>304800</xdr:colOff>
      <xdr:row>49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23055B0-6E23-417A-9C6A-054AEE1C8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54</xdr:row>
      <xdr:rowOff>0</xdr:rowOff>
    </xdr:from>
    <xdr:to>
      <xdr:col>5</xdr:col>
      <xdr:colOff>285750</xdr:colOff>
      <xdr:row>68</xdr:row>
      <xdr:rowOff>165100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5F7213-215C-4D65-8B2A-FB5263B3E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54</xdr:row>
      <xdr:rowOff>0</xdr:rowOff>
    </xdr:from>
    <xdr:to>
      <xdr:col>13</xdr:col>
      <xdr:colOff>50800</xdr:colOff>
      <xdr:row>68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5292784-5F58-4ACA-B87C-ABC32534C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54</xdr:row>
      <xdr:rowOff>0</xdr:rowOff>
    </xdr:from>
    <xdr:to>
      <xdr:col>21</xdr:col>
      <xdr:colOff>304800</xdr:colOff>
      <xdr:row>68</xdr:row>
      <xdr:rowOff>165100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0BB4CAF-A73A-4E7E-BB49-4FF186488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54</xdr:row>
      <xdr:rowOff>0</xdr:rowOff>
    </xdr:from>
    <xdr:to>
      <xdr:col>29</xdr:col>
      <xdr:colOff>304800</xdr:colOff>
      <xdr:row>68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0E6516B-31CF-4553-A8E9-3ED3DDAB2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6350</xdr:colOff>
      <xdr:row>70</xdr:row>
      <xdr:rowOff>165100</xdr:rowOff>
    </xdr:from>
    <xdr:to>
      <xdr:col>5</xdr:col>
      <xdr:colOff>292100</xdr:colOff>
      <xdr:row>85</xdr:row>
      <xdr:rowOff>146050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A7A4FF5-8349-4926-9AFD-7C8AD7951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71</xdr:row>
      <xdr:rowOff>0</xdr:rowOff>
    </xdr:from>
    <xdr:to>
      <xdr:col>13</xdr:col>
      <xdr:colOff>50800</xdr:colOff>
      <xdr:row>85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E6A43-9814-4BB2-95C4-9343966C9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71</xdr:row>
      <xdr:rowOff>0</xdr:rowOff>
    </xdr:from>
    <xdr:to>
      <xdr:col>21</xdr:col>
      <xdr:colOff>304800</xdr:colOff>
      <xdr:row>85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9266A-063C-4ADE-964B-41DD1F543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219075</xdr:colOff>
      <xdr:row>17</xdr:row>
      <xdr:rowOff>76200</xdr:rowOff>
    </xdr:from>
    <xdr:to>
      <xdr:col>24</xdr:col>
      <xdr:colOff>523875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EA6B6-9FD7-B1E1-D2E9-DCD97BE81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5DEFA-8FD7-4C3C-8951-6C5AD431B186}" name="Table1" displayName="Table1" ref="B3:G22" totalsRowShown="0" headerRowDxfId="5" tableBorderDxfId="4">
  <autoFilter ref="B3:G22" xr:uid="{8365DEFA-8FD7-4C3C-8951-6C5AD431B186}"/>
  <tableColumns count="6">
    <tableColumn id="1" xr3:uid="{E9107248-AB6F-402D-90CF-80567357D589}" name="Particulars" dataDxfId="3"/>
    <tableColumn id="2" xr3:uid="{60BCADC6-3FD9-42E9-B42D-4B4DF23B2F32}" name="FY 2020-21" dataDxfId="2"/>
    <tableColumn id="7" xr3:uid="{9CB7D0DD-ED23-4472-84E1-BECE0E53F179}" name="FY 2021-22" dataDxfId="1"/>
    <tableColumn id="3" xr3:uid="{BCC81EC2-F8D1-4539-8350-FA66327B2718}" name="FY 2022-23" dataDxfId="0"/>
    <tableColumn id="4" xr3:uid="{1A678331-BEEE-4629-93F4-22AD3AA6976C}" name="FY 2023-24"/>
    <tableColumn id="5" xr3:uid="{17BBC63F-BAEB-40C1-A7D8-AE2C9AF6FB4B}" name="FY 2024-2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topLeftCell="A15" workbookViewId="0">
      <selection activeCell="E26" sqref="E26"/>
    </sheetView>
  </sheetViews>
  <sheetFormatPr defaultRowHeight="14.5" x14ac:dyDescent="0.35"/>
  <cols>
    <col min="1" max="1" width="17.1796875" customWidth="1"/>
    <col min="2" max="2" width="38.453125" customWidth="1"/>
    <col min="3" max="3" width="17.54296875" customWidth="1"/>
    <col min="4" max="4" width="17.453125" bestFit="1" customWidth="1"/>
    <col min="5" max="5" width="18.1796875" customWidth="1"/>
    <col min="6" max="6" width="18.36328125" customWidth="1"/>
    <col min="7" max="7" width="18.7265625" bestFit="1" customWidth="1"/>
  </cols>
  <sheetData>
    <row r="1" spans="2:7" ht="15" x14ac:dyDescent="0.35">
      <c r="B1" s="39" t="s">
        <v>106</v>
      </c>
      <c r="C1" s="40"/>
      <c r="D1" s="20"/>
      <c r="E1" s="20"/>
      <c r="F1" s="20"/>
    </row>
    <row r="2" spans="2:7" ht="15" x14ac:dyDescent="0.35">
      <c r="B2" s="41" t="s">
        <v>107</v>
      </c>
      <c r="C2" s="42"/>
    </row>
    <row r="3" spans="2:7" x14ac:dyDescent="0.35">
      <c r="B3" s="1" t="s">
        <v>0</v>
      </c>
      <c r="C3" s="21" t="s">
        <v>1</v>
      </c>
      <c r="D3" s="21" t="s">
        <v>111</v>
      </c>
      <c r="E3" s="1" t="s">
        <v>2</v>
      </c>
      <c r="F3" s="1" t="s">
        <v>3</v>
      </c>
      <c r="G3" s="1" t="s">
        <v>4</v>
      </c>
    </row>
    <row r="4" spans="2:7" x14ac:dyDescent="0.35">
      <c r="B4" s="2" t="s">
        <v>5</v>
      </c>
      <c r="C4" s="23">
        <v>850801390</v>
      </c>
      <c r="D4" s="23">
        <v>960385039</v>
      </c>
      <c r="E4" s="23">
        <v>943667285</v>
      </c>
      <c r="F4" s="23">
        <v>992132243</v>
      </c>
      <c r="G4" s="23">
        <v>1151318677</v>
      </c>
    </row>
    <row r="5" spans="2:7" x14ac:dyDescent="0.35">
      <c r="B5" s="2" t="s">
        <v>6</v>
      </c>
      <c r="C5" s="23">
        <v>494909633</v>
      </c>
      <c r="D5" s="23">
        <v>557319210</v>
      </c>
      <c r="E5" s="23">
        <v>558930279</v>
      </c>
      <c r="F5" s="23">
        <v>577935197</v>
      </c>
      <c r="G5" s="23">
        <v>664222284</v>
      </c>
    </row>
    <row r="6" spans="2:7" x14ac:dyDescent="0.35">
      <c r="B6" s="3" t="s">
        <v>7</v>
      </c>
      <c r="C6" s="27">
        <v>355891757</v>
      </c>
      <c r="D6" s="27">
        <v>403065829</v>
      </c>
      <c r="E6" s="27">
        <v>384737006</v>
      </c>
      <c r="F6" s="27">
        <v>414197046</v>
      </c>
      <c r="G6" s="27">
        <v>487096393</v>
      </c>
    </row>
    <row r="7" spans="2:7" x14ac:dyDescent="0.35">
      <c r="B7" s="3" t="s">
        <v>8</v>
      </c>
      <c r="C7" s="27">
        <v>16231797</v>
      </c>
      <c r="D7" s="27">
        <v>141143960</v>
      </c>
      <c r="E7" s="27">
        <v>16687750</v>
      </c>
      <c r="F7" s="27">
        <v>15378844</v>
      </c>
      <c r="G7" s="27">
        <v>15847793</v>
      </c>
    </row>
    <row r="8" spans="2:7" x14ac:dyDescent="0.35">
      <c r="B8" s="3" t="s">
        <v>9</v>
      </c>
      <c r="C8" s="27">
        <v>123456281</v>
      </c>
      <c r="D8" s="27">
        <v>17101509</v>
      </c>
      <c r="E8" s="27">
        <v>126596834</v>
      </c>
      <c r="F8" s="27">
        <v>125655678</v>
      </c>
      <c r="G8" s="27">
        <v>151174945</v>
      </c>
    </row>
    <row r="9" spans="2:7" x14ac:dyDescent="0.35">
      <c r="B9" s="3" t="s">
        <v>10</v>
      </c>
      <c r="C9" s="27">
        <v>139688078</v>
      </c>
      <c r="D9" s="27">
        <v>158245469</v>
      </c>
      <c r="E9" s="27">
        <v>143284584</v>
      </c>
      <c r="F9" s="27">
        <v>141034522</v>
      </c>
      <c r="G9" s="27">
        <v>167022738</v>
      </c>
    </row>
    <row r="10" spans="2:7" x14ac:dyDescent="0.35">
      <c r="B10" s="3" t="s">
        <v>11</v>
      </c>
      <c r="C10" s="27">
        <v>216203679</v>
      </c>
      <c r="D10" s="27">
        <v>261921869</v>
      </c>
      <c r="E10" s="27">
        <v>241452422</v>
      </c>
      <c r="F10" s="27">
        <v>273162524</v>
      </c>
      <c r="G10" s="27">
        <v>320073655</v>
      </c>
    </row>
    <row r="11" spans="2:7" x14ac:dyDescent="0.35">
      <c r="B11" s="3" t="s">
        <v>12</v>
      </c>
      <c r="C11" s="27">
        <v>118035700</v>
      </c>
      <c r="D11" s="27">
        <v>120022392</v>
      </c>
      <c r="E11" s="27">
        <v>116877787</v>
      </c>
      <c r="F11" s="27">
        <v>128225191</v>
      </c>
      <c r="G11" s="27">
        <v>145413127</v>
      </c>
    </row>
    <row r="12" spans="2:7" x14ac:dyDescent="0.35">
      <c r="B12" s="3" t="s">
        <v>13</v>
      </c>
      <c r="C12" s="27">
        <v>98167979</v>
      </c>
      <c r="D12" s="27">
        <v>141899478</v>
      </c>
      <c r="E12" s="27">
        <v>124574634</v>
      </c>
      <c r="F12" s="27">
        <v>144937333</v>
      </c>
      <c r="G12" s="27">
        <v>174660528</v>
      </c>
    </row>
    <row r="13" spans="2:7" x14ac:dyDescent="0.35">
      <c r="B13" s="3" t="s">
        <v>14</v>
      </c>
      <c r="C13" s="27">
        <v>3598895</v>
      </c>
      <c r="D13" s="27">
        <v>12051004</v>
      </c>
      <c r="E13" s="27">
        <v>13590518</v>
      </c>
      <c r="F13" s="27">
        <v>14887562</v>
      </c>
      <c r="G13" s="27">
        <v>27433692</v>
      </c>
    </row>
    <row r="14" spans="2:7" x14ac:dyDescent="0.35">
      <c r="B14" s="3" t="s">
        <v>15</v>
      </c>
      <c r="C14" s="27">
        <v>101766874</v>
      </c>
      <c r="D14" s="27">
        <v>153950482</v>
      </c>
      <c r="E14" s="27">
        <v>138165152</v>
      </c>
      <c r="F14" s="27">
        <v>159824895</v>
      </c>
      <c r="G14" s="27">
        <v>202094220</v>
      </c>
    </row>
    <row r="15" spans="2:7" x14ac:dyDescent="0.35">
      <c r="B15" s="2" t="s">
        <v>16</v>
      </c>
      <c r="C15" s="23">
        <v>4846042</v>
      </c>
      <c r="D15" s="23">
        <v>7330975</v>
      </c>
      <c r="E15" s="23">
        <v>6579293</v>
      </c>
      <c r="F15" s="23">
        <v>7610709</v>
      </c>
      <c r="G15" s="23">
        <v>9623634</v>
      </c>
    </row>
    <row r="16" spans="2:7" x14ac:dyDescent="0.35">
      <c r="B16" s="3" t="s">
        <v>17</v>
      </c>
      <c r="C16" s="27">
        <v>96920832</v>
      </c>
      <c r="D16" s="27">
        <v>146619507</v>
      </c>
      <c r="E16" s="27">
        <v>131585859</v>
      </c>
      <c r="F16" s="27">
        <v>152214186</v>
      </c>
      <c r="G16" s="27">
        <v>192470586</v>
      </c>
    </row>
    <row r="17" spans="2:7" x14ac:dyDescent="0.35">
      <c r="B17" s="2" t="s">
        <v>18</v>
      </c>
      <c r="C17" s="23">
        <v>18794777</v>
      </c>
      <c r="D17" s="23">
        <v>25024497</v>
      </c>
      <c r="E17" s="23">
        <v>11639189</v>
      </c>
      <c r="F17" s="23">
        <v>37752395</v>
      </c>
      <c r="G17" s="23">
        <v>36148526</v>
      </c>
    </row>
    <row r="18" spans="2:7" x14ac:dyDescent="0.35">
      <c r="B18" s="2" t="s">
        <v>19</v>
      </c>
      <c r="C18" s="23">
        <v>-16881820</v>
      </c>
      <c r="D18" s="23">
        <v>13362639</v>
      </c>
      <c r="E18" s="23">
        <v>14682745</v>
      </c>
      <c r="F18" s="23">
        <v>-7309558</v>
      </c>
      <c r="G18" s="23">
        <v>2345611</v>
      </c>
    </row>
    <row r="19" spans="2:7" x14ac:dyDescent="0.35">
      <c r="B19" s="3" t="s">
        <v>20</v>
      </c>
      <c r="C19" s="27">
        <v>1912957</v>
      </c>
      <c r="D19" s="27">
        <v>38387136</v>
      </c>
      <c r="E19" s="27">
        <v>26321934</v>
      </c>
      <c r="F19" s="27">
        <v>30442837</v>
      </c>
      <c r="G19" s="27">
        <v>38494137</v>
      </c>
    </row>
    <row r="20" spans="2:7" x14ac:dyDescent="0.35">
      <c r="B20" s="3" t="s">
        <v>21</v>
      </c>
      <c r="C20" s="27">
        <v>95007875</v>
      </c>
      <c r="D20" s="27">
        <v>121595010</v>
      </c>
      <c r="E20" s="27">
        <v>105263926</v>
      </c>
      <c r="F20" s="27">
        <v>121771349</v>
      </c>
      <c r="G20" s="27">
        <v>153976548</v>
      </c>
    </row>
    <row r="21" spans="2:7" x14ac:dyDescent="0.35">
      <c r="B21" s="3" t="s">
        <v>22</v>
      </c>
      <c r="C21" s="27">
        <v>95007875</v>
      </c>
      <c r="D21" s="27">
        <v>121595010</v>
      </c>
      <c r="E21" s="27">
        <v>105263926</v>
      </c>
      <c r="F21" s="27">
        <v>121771349</v>
      </c>
      <c r="G21" s="27">
        <v>153976548</v>
      </c>
    </row>
    <row r="22" spans="2:7" x14ac:dyDescent="0.35">
      <c r="B22" s="14" t="s">
        <v>23</v>
      </c>
      <c r="C22" s="15">
        <v>1.41</v>
      </c>
      <c r="D22" s="15">
        <v>1.43</v>
      </c>
      <c r="E22" s="15">
        <v>1.24</v>
      </c>
      <c r="F22" s="14">
        <v>1.43</v>
      </c>
      <c r="G22" s="14">
        <v>1.65</v>
      </c>
    </row>
  </sheetData>
  <mergeCells count="2">
    <mergeCell ref="B1:C1"/>
    <mergeCell ref="B2:C2"/>
  </mergeCells>
  <phoneticPr fontId="8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A77C-A7C8-43AA-B5A9-F51DD8E69035}">
  <dimension ref="C1:H38"/>
  <sheetViews>
    <sheetView topLeftCell="A29" workbookViewId="0">
      <selection activeCell="F41" sqref="F41"/>
    </sheetView>
  </sheetViews>
  <sheetFormatPr defaultRowHeight="14.5" x14ac:dyDescent="0.35"/>
  <cols>
    <col min="3" max="3" width="31.90625" bestFit="1" customWidth="1"/>
    <col min="4" max="8" width="19" bestFit="1" customWidth="1"/>
  </cols>
  <sheetData>
    <row r="1" spans="3:8" ht="30" customHeight="1" x14ac:dyDescent="0.35">
      <c r="C1" s="43" t="s">
        <v>106</v>
      </c>
      <c r="D1" s="44"/>
      <c r="E1" s="44"/>
    </row>
    <row r="2" spans="3:8" ht="15" x14ac:dyDescent="0.35">
      <c r="C2" s="43" t="s">
        <v>108</v>
      </c>
      <c r="D2" s="44"/>
      <c r="E2" s="44"/>
    </row>
    <row r="3" spans="3:8" x14ac:dyDescent="0.35">
      <c r="C3" s="1" t="s">
        <v>0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116</v>
      </c>
    </row>
    <row r="4" spans="3:8" x14ac:dyDescent="0.35">
      <c r="C4" s="5" t="s">
        <v>24</v>
      </c>
      <c r="D4" s="6" t="s">
        <v>25</v>
      </c>
      <c r="E4" s="6"/>
      <c r="F4" s="6" t="s">
        <v>25</v>
      </c>
      <c r="G4" s="6" t="s">
        <v>25</v>
      </c>
      <c r="H4" s="6" t="s">
        <v>25</v>
      </c>
    </row>
    <row r="5" spans="3:8" x14ac:dyDescent="0.35">
      <c r="C5" s="2" t="s">
        <v>26</v>
      </c>
      <c r="D5" s="23">
        <v>986583283</v>
      </c>
      <c r="E5" s="23">
        <v>1041217250</v>
      </c>
      <c r="F5" s="23">
        <v>1343440327</v>
      </c>
      <c r="G5" s="23">
        <v>1145944020</v>
      </c>
      <c r="H5" s="23">
        <v>1600709095</v>
      </c>
    </row>
    <row r="6" spans="3:8" x14ac:dyDescent="0.35">
      <c r="C6" s="2" t="s">
        <v>27</v>
      </c>
      <c r="D6" s="23">
        <v>240328113</v>
      </c>
      <c r="E6" s="23">
        <v>212247197</v>
      </c>
      <c r="F6" s="23">
        <v>187257301</v>
      </c>
      <c r="G6" s="23">
        <v>175846253</v>
      </c>
      <c r="H6" s="23">
        <v>156961240</v>
      </c>
    </row>
    <row r="7" spans="3:8" x14ac:dyDescent="0.35">
      <c r="C7" s="2" t="s">
        <v>28</v>
      </c>
      <c r="D7" s="23">
        <v>839720</v>
      </c>
      <c r="E7" s="23">
        <v>633610</v>
      </c>
      <c r="F7" s="23">
        <v>451805</v>
      </c>
      <c r="G7" s="23">
        <v>462153</v>
      </c>
      <c r="H7" s="23">
        <v>429826</v>
      </c>
    </row>
    <row r="8" spans="3:8" x14ac:dyDescent="0.35">
      <c r="C8" s="2" t="s">
        <v>29</v>
      </c>
      <c r="D8" s="23">
        <v>34784052</v>
      </c>
      <c r="E8" s="23"/>
      <c r="F8" s="23">
        <v>31271000</v>
      </c>
      <c r="G8" s="23">
        <v>29612716</v>
      </c>
      <c r="H8" s="23">
        <v>38385000</v>
      </c>
    </row>
    <row r="9" spans="3:8" x14ac:dyDescent="0.35">
      <c r="C9" s="2" t="s">
        <v>30</v>
      </c>
      <c r="D9" s="23">
        <v>12908277</v>
      </c>
      <c r="E9" s="23">
        <v>13503241</v>
      </c>
      <c r="F9" s="23">
        <v>13793999</v>
      </c>
      <c r="G9" s="23">
        <v>13800607</v>
      </c>
      <c r="H9" s="23">
        <v>14333717</v>
      </c>
    </row>
    <row r="10" spans="3:8" x14ac:dyDescent="0.35">
      <c r="C10" s="7" t="s">
        <v>31</v>
      </c>
      <c r="D10" s="24">
        <v>1275443445</v>
      </c>
      <c r="E10" s="24">
        <v>1267601299</v>
      </c>
      <c r="F10" s="24">
        <v>1576214432</v>
      </c>
      <c r="G10" s="24">
        <v>1365665749</v>
      </c>
      <c r="H10" s="24">
        <v>1810818878</v>
      </c>
    </row>
    <row r="11" spans="3:8" x14ac:dyDescent="0.35">
      <c r="C11" s="5" t="s">
        <v>32</v>
      </c>
      <c r="D11" s="25" t="s">
        <v>25</v>
      </c>
      <c r="E11" s="25"/>
      <c r="F11" s="25" t="s">
        <v>25</v>
      </c>
      <c r="G11" s="25" t="s">
        <v>25</v>
      </c>
      <c r="H11" s="25" t="s">
        <v>25</v>
      </c>
    </row>
    <row r="12" spans="3:8" x14ac:dyDescent="0.35">
      <c r="C12" s="2" t="s">
        <v>33</v>
      </c>
      <c r="D12" s="23">
        <v>299734955</v>
      </c>
      <c r="E12" s="23">
        <v>364927361</v>
      </c>
      <c r="F12" s="23">
        <v>482397366</v>
      </c>
      <c r="G12" s="23">
        <v>501622491</v>
      </c>
      <c r="H12" s="23">
        <v>580268383</v>
      </c>
    </row>
    <row r="13" spans="3:8" x14ac:dyDescent="0.35">
      <c r="C13" s="2" t="s">
        <v>34</v>
      </c>
      <c r="D13" s="23">
        <v>298843538</v>
      </c>
      <c r="E13" s="23">
        <v>355518907</v>
      </c>
      <c r="F13" s="23">
        <v>426622688</v>
      </c>
      <c r="G13" s="23">
        <v>439864964</v>
      </c>
      <c r="H13" s="23">
        <v>579285799</v>
      </c>
    </row>
    <row r="14" spans="3:8" x14ac:dyDescent="0.35">
      <c r="C14" s="2" t="s">
        <v>35</v>
      </c>
      <c r="D14" s="26" t="s">
        <v>25</v>
      </c>
      <c r="E14" s="26">
        <v>2500000</v>
      </c>
      <c r="F14" s="23">
        <v>7950000</v>
      </c>
      <c r="G14" s="23">
        <v>8520579</v>
      </c>
      <c r="H14" s="23">
        <v>8728165</v>
      </c>
    </row>
    <row r="15" spans="3:8" ht="15" customHeight="1" x14ac:dyDescent="0.35">
      <c r="C15" s="2" t="s">
        <v>36</v>
      </c>
      <c r="D15" s="23">
        <v>103735987</v>
      </c>
      <c r="E15" s="23">
        <v>173060217</v>
      </c>
      <c r="F15" s="23">
        <v>218879582</v>
      </c>
      <c r="G15" s="23">
        <v>230081742</v>
      </c>
      <c r="H15" s="23">
        <v>773136786</v>
      </c>
    </row>
    <row r="16" spans="3:8" x14ac:dyDescent="0.35">
      <c r="C16" s="2" t="s">
        <v>37</v>
      </c>
      <c r="D16" s="23">
        <v>173150854</v>
      </c>
      <c r="E16" s="23">
        <v>125365626</v>
      </c>
      <c r="F16" s="23">
        <v>145090668</v>
      </c>
      <c r="G16" s="23">
        <v>159579630</v>
      </c>
      <c r="H16" s="23">
        <v>138106932</v>
      </c>
    </row>
    <row r="17" spans="3:8" x14ac:dyDescent="0.35">
      <c r="C17" s="7" t="s">
        <v>38</v>
      </c>
      <c r="D17" s="24">
        <v>875465334</v>
      </c>
      <c r="E17" s="24">
        <v>1021372111</v>
      </c>
      <c r="F17" s="24">
        <v>1280940304</v>
      </c>
      <c r="G17" s="24">
        <v>1339669406</v>
      </c>
      <c r="H17" s="24">
        <v>2079526065</v>
      </c>
    </row>
    <row r="18" spans="3:8" x14ac:dyDescent="0.35">
      <c r="C18" s="7" t="s">
        <v>39</v>
      </c>
      <c r="D18" s="24">
        <v>2150908779</v>
      </c>
      <c r="E18" s="24">
        <v>2288973410</v>
      </c>
      <c r="F18" s="24">
        <v>2624380631</v>
      </c>
      <c r="G18" s="24">
        <v>2705335155</v>
      </c>
      <c r="H18" s="24">
        <v>3890344943</v>
      </c>
    </row>
    <row r="19" spans="3:8" x14ac:dyDescent="0.35">
      <c r="C19" s="5" t="s">
        <v>40</v>
      </c>
      <c r="D19" s="25" t="s">
        <v>25</v>
      </c>
      <c r="E19" s="25"/>
      <c r="F19" s="25" t="s">
        <v>25</v>
      </c>
      <c r="G19" s="25" t="s">
        <v>25</v>
      </c>
      <c r="H19" s="25" t="s">
        <v>25</v>
      </c>
    </row>
    <row r="20" spans="3:8" x14ac:dyDescent="0.35">
      <c r="C20" s="2" t="s">
        <v>41</v>
      </c>
      <c r="D20" s="23">
        <v>850000000</v>
      </c>
      <c r="E20" s="23">
        <v>850000000</v>
      </c>
      <c r="F20" s="23">
        <v>850000000</v>
      </c>
      <c r="G20" s="23">
        <v>850000000</v>
      </c>
      <c r="H20" s="23">
        <v>935000000</v>
      </c>
    </row>
    <row r="21" spans="3:8" x14ac:dyDescent="0.35">
      <c r="C21" s="2" t="s">
        <v>42</v>
      </c>
      <c r="D21" s="23">
        <v>218294075</v>
      </c>
      <c r="E21" s="23">
        <v>246389086</v>
      </c>
      <c r="F21" s="23">
        <v>249653011</v>
      </c>
      <c r="G21" s="23">
        <v>286424360</v>
      </c>
      <c r="H21" s="23">
        <v>187774316</v>
      </c>
    </row>
    <row r="22" spans="3:8" x14ac:dyDescent="0.35">
      <c r="C22" s="7" t="s">
        <v>43</v>
      </c>
      <c r="D22" s="24">
        <v>1068294075</v>
      </c>
      <c r="E22" s="24">
        <v>1096389086</v>
      </c>
      <c r="F22" s="24">
        <v>1099653011</v>
      </c>
      <c r="G22" s="24">
        <v>1136424360</v>
      </c>
      <c r="H22" s="24">
        <v>1122774316</v>
      </c>
    </row>
    <row r="23" spans="3:8" x14ac:dyDescent="0.35">
      <c r="C23" s="5" t="s">
        <v>44</v>
      </c>
      <c r="D23" s="25" t="s">
        <v>25</v>
      </c>
      <c r="E23" s="25"/>
      <c r="F23" s="25" t="s">
        <v>25</v>
      </c>
      <c r="G23" s="25" t="s">
        <v>25</v>
      </c>
      <c r="H23" s="25" t="s">
        <v>25</v>
      </c>
    </row>
    <row r="24" spans="3:8" x14ac:dyDescent="0.35">
      <c r="C24" s="2" t="s">
        <v>45</v>
      </c>
      <c r="D24" s="23">
        <v>47774428</v>
      </c>
      <c r="E24" s="23">
        <v>59436286</v>
      </c>
      <c r="F24" s="23">
        <v>74119030</v>
      </c>
      <c r="G24" s="23">
        <v>66809472</v>
      </c>
      <c r="H24" s="23">
        <v>53401974</v>
      </c>
    </row>
    <row r="25" spans="3:8" x14ac:dyDescent="0.35">
      <c r="C25" s="2" t="s">
        <v>46</v>
      </c>
      <c r="D25" s="23">
        <v>418249653</v>
      </c>
      <c r="E25" s="23">
        <v>450856005</v>
      </c>
      <c r="F25" s="23">
        <v>680452103</v>
      </c>
      <c r="G25" s="23">
        <v>741586912</v>
      </c>
      <c r="H25" s="23">
        <v>1616205634</v>
      </c>
    </row>
    <row r="26" spans="3:8" x14ac:dyDescent="0.35">
      <c r="C26" s="2" t="s">
        <v>47</v>
      </c>
      <c r="D26" s="23">
        <v>214269413</v>
      </c>
      <c r="E26" s="23">
        <v>236487451</v>
      </c>
      <c r="F26" s="23">
        <v>227377414</v>
      </c>
      <c r="G26" s="23">
        <v>246753213</v>
      </c>
      <c r="H26" s="23">
        <v>265104216</v>
      </c>
    </row>
    <row r="27" spans="3:8" x14ac:dyDescent="0.35">
      <c r="C27" s="7" t="s">
        <v>48</v>
      </c>
      <c r="D27" s="24">
        <v>680293494</v>
      </c>
      <c r="E27" s="24">
        <v>746779741</v>
      </c>
      <c r="F27" s="24">
        <v>981948546</v>
      </c>
      <c r="G27" s="24">
        <v>1055149598</v>
      </c>
      <c r="H27" s="24">
        <v>1881309850</v>
      </c>
    </row>
    <row r="28" spans="3:8" x14ac:dyDescent="0.35">
      <c r="C28" s="5" t="s">
        <v>49</v>
      </c>
      <c r="D28" s="25" t="s">
        <v>25</v>
      </c>
      <c r="E28" s="25"/>
      <c r="F28" s="25" t="s">
        <v>25</v>
      </c>
      <c r="G28" s="25" t="s">
        <v>25</v>
      </c>
      <c r="H28" s="25" t="s">
        <v>25</v>
      </c>
    </row>
    <row r="29" spans="3:8" x14ac:dyDescent="0.35">
      <c r="C29" s="2" t="s">
        <v>50</v>
      </c>
      <c r="D29" s="23">
        <v>119499901</v>
      </c>
      <c r="E29" s="23">
        <v>128816001</v>
      </c>
      <c r="F29" s="23">
        <v>194414886</v>
      </c>
      <c r="G29" s="23">
        <v>211881974</v>
      </c>
      <c r="H29" s="23">
        <v>301733403</v>
      </c>
    </row>
    <row r="30" spans="3:8" x14ac:dyDescent="0.35">
      <c r="C30" s="2" t="s">
        <v>51</v>
      </c>
      <c r="D30" s="23">
        <v>78530644</v>
      </c>
      <c r="E30" s="23">
        <v>86673649</v>
      </c>
      <c r="F30" s="23">
        <v>83334782</v>
      </c>
      <c r="G30" s="23">
        <v>90436094</v>
      </c>
      <c r="H30" s="23">
        <v>97161814</v>
      </c>
    </row>
    <row r="31" spans="3:8" x14ac:dyDescent="0.35">
      <c r="C31" s="2" t="s">
        <v>52</v>
      </c>
      <c r="D31" s="23">
        <v>51246072</v>
      </c>
      <c r="E31" s="23">
        <v>86522537</v>
      </c>
      <c r="F31" s="23">
        <v>13901325</v>
      </c>
      <c r="G31" s="23">
        <v>0</v>
      </c>
      <c r="H31" s="26" t="s">
        <v>25</v>
      </c>
    </row>
    <row r="32" spans="3:8" x14ac:dyDescent="0.35">
      <c r="C32" s="2" t="s">
        <v>53</v>
      </c>
      <c r="D32" s="23">
        <v>62971350</v>
      </c>
      <c r="E32" s="23">
        <v>29608177</v>
      </c>
      <c r="F32" s="23">
        <v>58047293</v>
      </c>
      <c r="G32" s="23">
        <v>40127858</v>
      </c>
      <c r="H32" s="23">
        <v>229602462</v>
      </c>
    </row>
    <row r="33" spans="3:8" x14ac:dyDescent="0.35">
      <c r="C33" s="2" t="s">
        <v>54</v>
      </c>
      <c r="D33" s="23">
        <v>18384654</v>
      </c>
      <c r="E33" s="23">
        <v>21537447</v>
      </c>
      <c r="F33" s="23">
        <v>23558911</v>
      </c>
      <c r="G33" s="23">
        <v>21393140</v>
      </c>
      <c r="H33" s="23">
        <v>17368460</v>
      </c>
    </row>
    <row r="34" spans="3:8" x14ac:dyDescent="0.35">
      <c r="C34" s="2" t="s">
        <v>16</v>
      </c>
      <c r="D34" s="23">
        <v>5672354</v>
      </c>
      <c r="E34" s="23">
        <v>7759281</v>
      </c>
      <c r="F34" s="23">
        <v>7739887</v>
      </c>
      <c r="G34" s="23">
        <v>8211531</v>
      </c>
      <c r="H34" s="23">
        <v>12899972</v>
      </c>
    </row>
    <row r="35" spans="3:8" x14ac:dyDescent="0.35">
      <c r="C35" s="2" t="s">
        <v>55</v>
      </c>
      <c r="D35" s="23">
        <v>66016234</v>
      </c>
      <c r="E35" s="23">
        <v>79378873</v>
      </c>
      <c r="F35" s="23">
        <v>91018062</v>
      </c>
      <c r="G35" s="23">
        <v>128245309</v>
      </c>
      <c r="H35" s="23">
        <v>156173340</v>
      </c>
    </row>
    <row r="36" spans="3:8" x14ac:dyDescent="0.35">
      <c r="C36" s="2" t="s">
        <v>56</v>
      </c>
      <c r="D36" s="26" t="s">
        <v>25</v>
      </c>
      <c r="E36" s="26">
        <v>5508618</v>
      </c>
      <c r="F36" s="23">
        <v>70763928</v>
      </c>
      <c r="G36" s="23">
        <v>13465291</v>
      </c>
      <c r="H36" s="23">
        <v>17919352</v>
      </c>
    </row>
    <row r="37" spans="3:8" x14ac:dyDescent="0.35">
      <c r="C37" s="7" t="s">
        <v>57</v>
      </c>
      <c r="D37" s="24">
        <v>402321209</v>
      </c>
      <c r="E37" s="24">
        <v>445804583</v>
      </c>
      <c r="F37" s="24">
        <v>542779073</v>
      </c>
      <c r="G37" s="24">
        <v>513761197</v>
      </c>
      <c r="H37" s="24">
        <v>832858803</v>
      </c>
    </row>
    <row r="38" spans="3:8" x14ac:dyDescent="0.35">
      <c r="C38" s="7" t="s">
        <v>58</v>
      </c>
      <c r="D38" s="24">
        <v>2150908778</v>
      </c>
      <c r="E38" s="24">
        <v>2288973410</v>
      </c>
      <c r="F38" s="24">
        <v>2624380631</v>
      </c>
      <c r="G38" s="24">
        <v>2705335155</v>
      </c>
      <c r="H38" s="24">
        <v>1955633119</v>
      </c>
    </row>
  </sheetData>
  <mergeCells count="2">
    <mergeCell ref="C1:E1"/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E476-A7EA-4413-8841-FBD2E1F1CBC9}">
  <dimension ref="C1:J33"/>
  <sheetViews>
    <sheetView tabSelected="1" topLeftCell="I41" workbookViewId="0">
      <selection activeCell="Z21" sqref="Z21"/>
    </sheetView>
  </sheetViews>
  <sheetFormatPr defaultRowHeight="14.5" x14ac:dyDescent="0.35"/>
  <cols>
    <col min="3" max="3" width="40" bestFit="1" customWidth="1"/>
    <col min="4" max="4" width="10.54296875" bestFit="1" customWidth="1"/>
    <col min="5" max="5" width="10.81640625" customWidth="1"/>
    <col min="6" max="8" width="10.54296875" bestFit="1" customWidth="1"/>
  </cols>
  <sheetData>
    <row r="1" spans="3:10" ht="30" customHeight="1" x14ac:dyDescent="0.35">
      <c r="C1" s="43" t="s">
        <v>106</v>
      </c>
      <c r="D1" s="44"/>
      <c r="E1" s="44"/>
      <c r="F1" s="44"/>
    </row>
    <row r="2" spans="3:10" ht="15" x14ac:dyDescent="0.35">
      <c r="C2" s="43" t="s">
        <v>109</v>
      </c>
      <c r="D2" s="44"/>
      <c r="E2" s="44"/>
      <c r="F2" s="44"/>
    </row>
    <row r="3" spans="3:10" ht="15.5" x14ac:dyDescent="0.35">
      <c r="C3" s="9" t="s">
        <v>0</v>
      </c>
      <c r="D3" s="9" t="s">
        <v>1</v>
      </c>
      <c r="E3" s="9" t="s">
        <v>111</v>
      </c>
      <c r="F3" s="9" t="s">
        <v>2</v>
      </c>
      <c r="G3" s="9" t="s">
        <v>3</v>
      </c>
      <c r="H3" s="9" t="s">
        <v>4</v>
      </c>
    </row>
    <row r="4" spans="3:10" x14ac:dyDescent="0.35">
      <c r="C4" s="10" t="s">
        <v>59</v>
      </c>
      <c r="D4" s="10"/>
      <c r="E4" s="10"/>
      <c r="F4" s="10"/>
      <c r="G4" s="10"/>
      <c r="H4" s="10"/>
      <c r="J4" s="19"/>
    </row>
    <row r="5" spans="3:10" x14ac:dyDescent="0.35">
      <c r="C5" s="2" t="s">
        <v>60</v>
      </c>
      <c r="D5" s="11">
        <v>2.1800000000000002</v>
      </c>
      <c r="E5" s="11">
        <v>2.2911000000000001</v>
      </c>
      <c r="F5" s="11">
        <v>2.36</v>
      </c>
      <c r="G5" s="11">
        <v>2.61</v>
      </c>
      <c r="H5" s="11">
        <v>2.5</v>
      </c>
    </row>
    <row r="6" spans="3:10" x14ac:dyDescent="0.35">
      <c r="C6" s="2" t="s">
        <v>61</v>
      </c>
      <c r="D6" s="11">
        <v>1.43</v>
      </c>
      <c r="E6" s="11">
        <v>1.4724999999999999</v>
      </c>
      <c r="F6" s="11">
        <v>1.47</v>
      </c>
      <c r="G6" s="11">
        <v>1.63</v>
      </c>
      <c r="H6" s="11">
        <v>1.8</v>
      </c>
    </row>
    <row r="7" spans="3:10" x14ac:dyDescent="0.35">
      <c r="C7" s="2" t="s">
        <v>62</v>
      </c>
      <c r="D7" s="11">
        <v>0.43</v>
      </c>
      <c r="E7" s="11">
        <v>0.28120000000000001</v>
      </c>
      <c r="F7" s="11">
        <v>0.27</v>
      </c>
      <c r="G7" s="11">
        <v>0.31</v>
      </c>
      <c r="H7" s="11">
        <v>0.17</v>
      </c>
    </row>
    <row r="8" spans="3:10" x14ac:dyDescent="0.35">
      <c r="C8" s="2" t="s">
        <v>63</v>
      </c>
      <c r="D8" s="11">
        <v>0.74</v>
      </c>
      <c r="E8" s="11">
        <v>0.79749999999999999</v>
      </c>
      <c r="F8" s="11">
        <v>0.79</v>
      </c>
      <c r="G8" s="11">
        <v>0.86</v>
      </c>
      <c r="H8" s="11">
        <v>0.7</v>
      </c>
    </row>
    <row r="9" spans="3:10" x14ac:dyDescent="0.35">
      <c r="C9" s="2" t="s">
        <v>64</v>
      </c>
      <c r="D9" s="11">
        <v>0.37</v>
      </c>
      <c r="E9" s="11">
        <v>0.37380000000000002</v>
      </c>
      <c r="F9" s="11">
        <v>0.36</v>
      </c>
      <c r="G9" s="11">
        <v>0.33</v>
      </c>
      <c r="H9" s="11">
        <v>0.3</v>
      </c>
    </row>
    <row r="10" spans="3:10" x14ac:dyDescent="0.35">
      <c r="C10" s="2" t="s">
        <v>65</v>
      </c>
      <c r="D10" s="11">
        <v>0.44</v>
      </c>
      <c r="E10" s="11">
        <v>0.48259999999999997</v>
      </c>
      <c r="F10" s="11">
        <v>0.62</v>
      </c>
      <c r="G10" s="11">
        <v>0.53</v>
      </c>
      <c r="H10" s="11">
        <v>0.45</v>
      </c>
    </row>
    <row r="11" spans="3:10" x14ac:dyDescent="0.35">
      <c r="C11" s="2" t="s">
        <v>66</v>
      </c>
      <c r="D11" s="11">
        <v>331.14</v>
      </c>
      <c r="E11" s="11">
        <v>1514.1180999999999</v>
      </c>
      <c r="F11" s="11">
        <v>297.17</v>
      </c>
      <c r="G11" s="11">
        <v>2168.88</v>
      </c>
      <c r="H11" s="11">
        <v>658.32</v>
      </c>
    </row>
    <row r="12" spans="3:10" x14ac:dyDescent="0.35">
      <c r="C12" s="10" t="s">
        <v>67</v>
      </c>
      <c r="D12" s="10"/>
      <c r="E12" s="10"/>
      <c r="F12" s="10"/>
      <c r="G12" s="10"/>
      <c r="H12" s="10"/>
    </row>
    <row r="13" spans="3:10" x14ac:dyDescent="0.35">
      <c r="C13" s="2" t="s">
        <v>68</v>
      </c>
      <c r="D13" s="11">
        <v>0.63</v>
      </c>
      <c r="E13" s="11">
        <v>0.63400000000000001</v>
      </c>
      <c r="F13" s="11">
        <v>0.65</v>
      </c>
      <c r="G13" s="11">
        <v>0.61</v>
      </c>
      <c r="H13" s="11">
        <v>0.47</v>
      </c>
    </row>
    <row r="14" spans="3:10" x14ac:dyDescent="0.35">
      <c r="C14" s="2" t="s">
        <v>69</v>
      </c>
      <c r="D14" s="11">
        <v>221.06</v>
      </c>
      <c r="E14" s="11">
        <v>238.99860000000001</v>
      </c>
      <c r="F14" s="11">
        <v>315.02</v>
      </c>
      <c r="G14" s="11">
        <v>316.8</v>
      </c>
      <c r="H14" s="11">
        <v>318.87</v>
      </c>
    </row>
    <row r="15" spans="3:10" x14ac:dyDescent="0.35">
      <c r="C15" s="2" t="s">
        <v>70</v>
      </c>
      <c r="D15" s="11">
        <v>128.21</v>
      </c>
      <c r="E15" s="11">
        <v>135.11709999999999</v>
      </c>
      <c r="F15" s="11">
        <v>165.01</v>
      </c>
      <c r="G15" s="11">
        <v>161.82</v>
      </c>
      <c r="H15" s="11">
        <v>183.65</v>
      </c>
    </row>
    <row r="16" spans="3:10" x14ac:dyDescent="0.35">
      <c r="C16" s="2" t="s">
        <v>71</v>
      </c>
      <c r="D16" s="11">
        <v>46.44</v>
      </c>
      <c r="E16" s="11">
        <v>6.5906000000000002</v>
      </c>
      <c r="F16" s="11">
        <v>37.909999999999997</v>
      </c>
      <c r="G16" s="11">
        <v>9.5500000000000007</v>
      </c>
      <c r="H16" s="11">
        <v>126.17</v>
      </c>
    </row>
    <row r="17" spans="3:8" x14ac:dyDescent="0.35">
      <c r="C17" s="2" t="s">
        <v>72</v>
      </c>
      <c r="D17" s="11">
        <v>1.8</v>
      </c>
      <c r="E17" s="11">
        <v>0.59930000000000005</v>
      </c>
      <c r="F17" s="11">
        <v>1.28</v>
      </c>
      <c r="G17" s="11">
        <v>1.2</v>
      </c>
      <c r="H17" s="11">
        <v>0.92</v>
      </c>
    </row>
    <row r="18" spans="3:8" x14ac:dyDescent="0.35">
      <c r="C18" s="10" t="s">
        <v>73</v>
      </c>
      <c r="D18" s="10"/>
      <c r="E18" s="10"/>
      <c r="F18" s="10"/>
      <c r="G18" s="10"/>
      <c r="H18" s="10"/>
    </row>
    <row r="19" spans="3:8" x14ac:dyDescent="0.35">
      <c r="C19" s="2" t="s">
        <v>74</v>
      </c>
      <c r="D19" s="17">
        <v>0.40699999999999997</v>
      </c>
      <c r="E19" s="12">
        <v>0.44619999999999999</v>
      </c>
      <c r="F19" s="12">
        <v>0.49</v>
      </c>
      <c r="G19" s="12">
        <v>0.5</v>
      </c>
      <c r="H19" s="17">
        <v>0.53449999999999998</v>
      </c>
    </row>
    <row r="20" spans="3:8" x14ac:dyDescent="0.35">
      <c r="C20" s="2" t="s">
        <v>75</v>
      </c>
      <c r="D20" s="17">
        <v>0.187</v>
      </c>
      <c r="E20" s="12">
        <v>0.1948</v>
      </c>
      <c r="F20" s="12">
        <v>0.21</v>
      </c>
      <c r="G20" s="12">
        <v>0.19</v>
      </c>
      <c r="H20" s="17">
        <v>0.21410000000000001</v>
      </c>
    </row>
    <row r="21" spans="3:8" x14ac:dyDescent="0.35">
      <c r="C21" s="2" t="s">
        <v>76</v>
      </c>
      <c r="D21" s="17">
        <v>0.37159999999999999</v>
      </c>
      <c r="E21" s="12">
        <v>0.37380000000000002</v>
      </c>
      <c r="F21" s="22">
        <v>0.36</v>
      </c>
      <c r="G21" s="12">
        <v>0.33</v>
      </c>
      <c r="H21" s="17">
        <v>0.3009</v>
      </c>
    </row>
    <row r="22" spans="3:8" x14ac:dyDescent="0.35">
      <c r="C22" s="10" t="s">
        <v>77</v>
      </c>
      <c r="D22" s="10"/>
      <c r="E22" s="10"/>
      <c r="F22" s="13"/>
      <c r="G22" s="13"/>
      <c r="H22" s="10"/>
    </row>
    <row r="23" spans="3:8" x14ac:dyDescent="0.35">
      <c r="C23" s="2" t="s">
        <v>78</v>
      </c>
      <c r="D23" s="17">
        <v>0.1978</v>
      </c>
      <c r="E23" s="12">
        <v>0.1227</v>
      </c>
      <c r="F23" s="12">
        <v>0.11</v>
      </c>
      <c r="G23" s="12">
        <v>0.12</v>
      </c>
      <c r="H23" s="17">
        <v>6.6400000000000001E-2</v>
      </c>
    </row>
    <row r="24" spans="3:8" x14ac:dyDescent="0.35">
      <c r="C24" s="2" t="s">
        <v>79</v>
      </c>
      <c r="D24" s="17">
        <v>0.34139999999999998</v>
      </c>
      <c r="E24" s="12">
        <v>0.34810000000000002</v>
      </c>
      <c r="F24" s="12">
        <v>0.33</v>
      </c>
      <c r="G24" s="12">
        <v>0.33</v>
      </c>
      <c r="H24" s="17">
        <v>0.27860000000000001</v>
      </c>
    </row>
    <row r="25" spans="3:8" x14ac:dyDescent="0.35">
      <c r="C25" s="2" t="s">
        <v>80</v>
      </c>
      <c r="D25" s="17">
        <v>0.34239999999999998</v>
      </c>
      <c r="E25" s="12">
        <v>0.35730000000000001</v>
      </c>
      <c r="F25" s="12">
        <v>0.38</v>
      </c>
      <c r="G25" s="12">
        <v>0.37</v>
      </c>
      <c r="H25" s="17">
        <v>0.27900000000000003</v>
      </c>
    </row>
    <row r="26" spans="3:8" x14ac:dyDescent="0.35">
      <c r="C26" s="2" t="s">
        <v>81</v>
      </c>
      <c r="D26" s="17">
        <v>0.35120000000000001</v>
      </c>
      <c r="E26" s="12">
        <v>0.37019999999999997</v>
      </c>
      <c r="F26" s="12">
        <v>0.45</v>
      </c>
      <c r="G26" s="12">
        <v>0.44</v>
      </c>
      <c r="H26" s="17">
        <v>0.50309999999999999</v>
      </c>
    </row>
    <row r="27" spans="3:8" x14ac:dyDescent="0.35">
      <c r="C27" s="2" t="s">
        <v>82</v>
      </c>
      <c r="D27" s="17">
        <v>0.55610000000000004</v>
      </c>
      <c r="E27" s="12">
        <v>0.59930000000000005</v>
      </c>
      <c r="F27" s="12">
        <v>0.78</v>
      </c>
      <c r="G27" s="12">
        <v>0.83</v>
      </c>
      <c r="H27" s="17">
        <v>1.0828</v>
      </c>
    </row>
    <row r="28" spans="3:8" x14ac:dyDescent="0.35">
      <c r="C28" s="10" t="s">
        <v>83</v>
      </c>
      <c r="D28" s="10"/>
      <c r="E28" s="10"/>
      <c r="F28" s="10"/>
      <c r="G28" s="10"/>
      <c r="H28" s="10"/>
    </row>
    <row r="29" spans="3:8" x14ac:dyDescent="0.35">
      <c r="C29" s="2" t="s">
        <v>84</v>
      </c>
      <c r="D29" s="11">
        <v>349.26</v>
      </c>
      <c r="E29" s="11">
        <v>374.11559999999997</v>
      </c>
      <c r="F29" s="11">
        <v>480.03</v>
      </c>
      <c r="G29" s="11">
        <v>478.63</v>
      </c>
      <c r="H29" s="11">
        <v>502.52</v>
      </c>
    </row>
    <row r="30" spans="3:8" x14ac:dyDescent="0.35">
      <c r="C30" s="2" t="s">
        <v>85</v>
      </c>
      <c r="D30" s="11">
        <v>302.82</v>
      </c>
      <c r="E30" s="11">
        <v>367.52499999999998</v>
      </c>
      <c r="F30" s="11">
        <v>442.13</v>
      </c>
      <c r="G30" s="11">
        <v>469.08</v>
      </c>
      <c r="H30" s="11">
        <v>376.35</v>
      </c>
    </row>
    <row r="31" spans="3:8" x14ac:dyDescent="0.35">
      <c r="C31" s="10" t="s">
        <v>86</v>
      </c>
      <c r="D31" s="10"/>
      <c r="E31" s="10"/>
      <c r="F31" s="10"/>
      <c r="G31" s="10"/>
      <c r="H31" s="10"/>
    </row>
    <row r="32" spans="3:8" x14ac:dyDescent="0.35">
      <c r="C32" s="2" t="s">
        <v>87</v>
      </c>
      <c r="D32" s="8" t="s">
        <v>25</v>
      </c>
      <c r="E32" s="8"/>
      <c r="F32" s="11">
        <v>0.95</v>
      </c>
      <c r="G32" s="11">
        <v>0.98</v>
      </c>
      <c r="H32" s="8" t="s">
        <v>25</v>
      </c>
    </row>
    <row r="33" spans="3:8" x14ac:dyDescent="0.35">
      <c r="C33" s="2" t="s">
        <v>88</v>
      </c>
      <c r="D33" s="8" t="s">
        <v>25</v>
      </c>
      <c r="E33" s="8"/>
      <c r="F33" s="11">
        <v>0.36</v>
      </c>
      <c r="G33" s="11">
        <v>0.33</v>
      </c>
      <c r="H33" s="8" t="s">
        <v>25</v>
      </c>
    </row>
  </sheetData>
  <mergeCells count="2">
    <mergeCell ref="C1:F1"/>
    <mergeCell ref="C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9D93-35A6-44A0-9926-834ABDE0D2F8}">
  <dimension ref="C1:H20"/>
  <sheetViews>
    <sheetView workbookViewId="0">
      <selection activeCell="I11" sqref="I11"/>
    </sheetView>
  </sheetViews>
  <sheetFormatPr defaultRowHeight="14.5" x14ac:dyDescent="0.35"/>
  <cols>
    <col min="3" max="3" width="34.54296875" bestFit="1" customWidth="1"/>
    <col min="4" max="8" width="14.81640625" bestFit="1" customWidth="1"/>
  </cols>
  <sheetData>
    <row r="1" spans="3:8" ht="30" customHeight="1" x14ac:dyDescent="0.35">
      <c r="C1" s="43" t="s">
        <v>106</v>
      </c>
      <c r="D1" s="44"/>
      <c r="E1" s="44"/>
    </row>
    <row r="2" spans="3:8" ht="15" customHeight="1" x14ac:dyDescent="0.35">
      <c r="C2" s="43" t="s">
        <v>110</v>
      </c>
      <c r="D2" s="44"/>
      <c r="E2" s="44"/>
    </row>
    <row r="3" spans="3:8" x14ac:dyDescent="0.35">
      <c r="C3" s="1" t="s">
        <v>0</v>
      </c>
      <c r="D3" s="1" t="s">
        <v>1</v>
      </c>
      <c r="E3" s="1" t="s">
        <v>111</v>
      </c>
      <c r="F3" s="1" t="s">
        <v>2</v>
      </c>
      <c r="G3" s="1" t="s">
        <v>3</v>
      </c>
      <c r="H3" s="1" t="s">
        <v>4</v>
      </c>
    </row>
    <row r="4" spans="3:8" x14ac:dyDescent="0.35">
      <c r="C4" s="2" t="s">
        <v>89</v>
      </c>
      <c r="D4" s="2"/>
      <c r="E4" s="2"/>
      <c r="F4" s="2"/>
      <c r="G4" s="2"/>
      <c r="H4" s="2"/>
    </row>
    <row r="5" spans="3:8" x14ac:dyDescent="0.35">
      <c r="C5" s="2" t="s">
        <v>90</v>
      </c>
      <c r="D5" s="4">
        <v>850801390</v>
      </c>
      <c r="E5" s="4">
        <v>960385039</v>
      </c>
      <c r="F5" s="4">
        <v>960385039</v>
      </c>
      <c r="G5" s="4">
        <v>992132243</v>
      </c>
      <c r="H5" s="4">
        <v>1151318677</v>
      </c>
    </row>
    <row r="6" spans="3:8" x14ac:dyDescent="0.35">
      <c r="C6" s="2" t="s">
        <v>91</v>
      </c>
      <c r="D6" s="16">
        <v>-9.7600000000000006E-2</v>
      </c>
      <c r="E6" s="16">
        <v>0.1288</v>
      </c>
      <c r="F6" s="16">
        <v>-1.7406000000000001E-2</v>
      </c>
      <c r="G6" s="16">
        <v>0.15</v>
      </c>
      <c r="H6" s="16">
        <v>0.16</v>
      </c>
    </row>
    <row r="7" spans="3:8" x14ac:dyDescent="0.35">
      <c r="C7" s="2" t="s">
        <v>92</v>
      </c>
      <c r="D7" s="4">
        <v>767763174.34000003</v>
      </c>
      <c r="E7" s="4">
        <v>1084082632.0232</v>
      </c>
      <c r="F7" s="4">
        <v>943667285</v>
      </c>
      <c r="G7" s="4">
        <v>1140952079.45</v>
      </c>
      <c r="H7" s="4">
        <v>1335529665.3199999</v>
      </c>
    </row>
    <row r="8" spans="3:8" x14ac:dyDescent="0.35">
      <c r="C8" s="2" t="s">
        <v>93</v>
      </c>
      <c r="D8" s="4">
        <v>-83038215.659999996</v>
      </c>
      <c r="E8" s="4">
        <v>123697593.02320004</v>
      </c>
      <c r="F8" s="4">
        <v>-16717754</v>
      </c>
      <c r="G8" s="4">
        <v>148819836.44999999</v>
      </c>
      <c r="H8" s="4">
        <v>184210988.31999999</v>
      </c>
    </row>
    <row r="9" spans="3:8" x14ac:dyDescent="0.35">
      <c r="C9" s="2" t="s">
        <v>94</v>
      </c>
      <c r="D9" s="4">
        <v>2150908779</v>
      </c>
      <c r="E9" s="4">
        <v>2288973410</v>
      </c>
      <c r="F9" s="4">
        <v>2288973410</v>
      </c>
      <c r="G9" s="4">
        <v>2705335155</v>
      </c>
      <c r="H9" s="4">
        <v>3890344943</v>
      </c>
    </row>
    <row r="10" spans="3:8" x14ac:dyDescent="0.35">
      <c r="C10" s="2" t="s">
        <v>95</v>
      </c>
      <c r="D10" s="11">
        <v>2.5299999999999998</v>
      </c>
      <c r="E10" s="11">
        <v>2.3833913660123147</v>
      </c>
      <c r="F10" s="11">
        <v>2.3834</v>
      </c>
      <c r="G10" s="11">
        <v>2.7267999999999999</v>
      </c>
      <c r="H10" s="11">
        <v>3.38</v>
      </c>
    </row>
    <row r="11" spans="3:8" x14ac:dyDescent="0.35">
      <c r="C11" s="2" t="s">
        <v>96</v>
      </c>
      <c r="D11" s="4">
        <v>402321209</v>
      </c>
      <c r="E11" s="4">
        <v>31600593</v>
      </c>
      <c r="F11" s="4">
        <v>51145624</v>
      </c>
      <c r="G11" s="4">
        <v>61520998</v>
      </c>
      <c r="H11" s="4">
        <v>832858803</v>
      </c>
    </row>
    <row r="12" spans="3:8" x14ac:dyDescent="0.35">
      <c r="C12" s="2" t="s">
        <v>97</v>
      </c>
      <c r="D12" s="16">
        <v>0.47289999999999999</v>
      </c>
      <c r="E12" s="16">
        <v>3.2904087128329373E-2</v>
      </c>
      <c r="F12" s="16">
        <v>5.33E-2</v>
      </c>
      <c r="G12" s="16">
        <v>6.2E-2</v>
      </c>
      <c r="H12" s="16">
        <v>0.72340000000000004</v>
      </c>
    </row>
    <row r="13" spans="3:8" x14ac:dyDescent="0.35">
      <c r="C13" s="2" t="s">
        <v>98</v>
      </c>
      <c r="D13" s="16">
        <v>0.11169999999999999</v>
      </c>
      <c r="E13" s="16">
        <v>0.12659999999999999</v>
      </c>
      <c r="F13" s="16">
        <v>0.1115</v>
      </c>
      <c r="G13" s="16">
        <v>0.12</v>
      </c>
      <c r="H13" s="16">
        <v>0.1338</v>
      </c>
    </row>
    <row r="14" spans="3:8" x14ac:dyDescent="0.35">
      <c r="C14" s="2" t="s">
        <v>99</v>
      </c>
      <c r="D14" s="17" t="s">
        <v>25</v>
      </c>
      <c r="E14" s="17">
        <v>0.76890000000000003</v>
      </c>
      <c r="F14" s="16">
        <v>0.96899999999999997</v>
      </c>
      <c r="G14" s="16">
        <v>0.7</v>
      </c>
      <c r="H14" s="16">
        <v>0.55000000000000004</v>
      </c>
    </row>
    <row r="15" spans="3:8" x14ac:dyDescent="0.35">
      <c r="C15" s="2" t="s">
        <v>100</v>
      </c>
      <c r="D15" s="16">
        <v>1</v>
      </c>
      <c r="E15" s="16">
        <v>0.23109999999999997</v>
      </c>
      <c r="F15" s="16">
        <v>3.1E-2</v>
      </c>
      <c r="G15" s="16">
        <v>0.3</v>
      </c>
      <c r="H15" s="16">
        <v>0.45</v>
      </c>
    </row>
    <row r="16" spans="3:8" x14ac:dyDescent="0.35">
      <c r="C16" s="10" t="s">
        <v>101</v>
      </c>
      <c r="D16" s="10"/>
      <c r="E16" s="10"/>
      <c r="F16" s="10"/>
      <c r="G16" s="10"/>
      <c r="H16" s="10"/>
    </row>
    <row r="17" spans="3:8" x14ac:dyDescent="0.35">
      <c r="C17" s="2" t="s">
        <v>102</v>
      </c>
      <c r="D17" s="4">
        <v>-209928696.83000001</v>
      </c>
      <c r="E17" s="4">
        <v>294819775.20800012</v>
      </c>
      <c r="F17" s="4">
        <v>-39844951</v>
      </c>
      <c r="G17" s="4">
        <v>405798485.49000001</v>
      </c>
      <c r="H17" s="4">
        <v>622455190.88</v>
      </c>
    </row>
    <row r="18" spans="3:8" x14ac:dyDescent="0.35">
      <c r="C18" s="2" t="s">
        <v>103</v>
      </c>
      <c r="D18" s="4">
        <v>-39266550</v>
      </c>
      <c r="E18" s="4">
        <v>4070156.3784000017</v>
      </c>
      <c r="F18" s="4">
        <v>-890310</v>
      </c>
      <c r="G18" s="4">
        <v>9228180.3699999992</v>
      </c>
      <c r="H18" s="4">
        <v>133257408.48</v>
      </c>
    </row>
    <row r="19" spans="3:8" x14ac:dyDescent="0.35">
      <c r="C19" s="2" t="s">
        <v>104</v>
      </c>
      <c r="D19" s="4">
        <v>85735106.400000006</v>
      </c>
      <c r="E19" s="4">
        <v>31717287.426587082</v>
      </c>
      <c r="F19" s="4">
        <v>3263925</v>
      </c>
      <c r="G19" s="4">
        <v>41074274.859999999</v>
      </c>
      <c r="H19" s="4">
        <v>80412241.150000006</v>
      </c>
    </row>
    <row r="20" spans="3:8" x14ac:dyDescent="0.35">
      <c r="C20" s="7" t="s">
        <v>105</v>
      </c>
      <c r="D20" s="18">
        <v>-256397253.22999999</v>
      </c>
      <c r="E20" s="18">
        <v>259032331.40301302</v>
      </c>
      <c r="F20" s="18">
        <v>-42218566</v>
      </c>
      <c r="G20" s="18">
        <v>354285072</v>
      </c>
      <c r="H20" s="18">
        <v>408785541.25</v>
      </c>
    </row>
  </sheetData>
  <mergeCells count="2">
    <mergeCell ref="C1:E1"/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8532-14CA-42C5-9A78-3E8DC82CE430}">
  <dimension ref="A1:K57"/>
  <sheetViews>
    <sheetView topLeftCell="A23" workbookViewId="0">
      <selection activeCell="H19" sqref="H19"/>
    </sheetView>
  </sheetViews>
  <sheetFormatPr defaultRowHeight="14.5" x14ac:dyDescent="0.35"/>
  <cols>
    <col min="1" max="1" width="35" customWidth="1"/>
    <col min="2" max="6" width="16" customWidth="1"/>
    <col min="7" max="7" width="5" customWidth="1"/>
    <col min="8" max="8" width="12" customWidth="1"/>
    <col min="9" max="11" width="20" customWidth="1"/>
  </cols>
  <sheetData>
    <row r="1" spans="1:11" ht="18.5" x14ac:dyDescent="0.45">
      <c r="A1" s="28" t="s">
        <v>117</v>
      </c>
      <c r="D1" s="29">
        <v>0.3</v>
      </c>
    </row>
    <row r="3" spans="1:11" x14ac:dyDescent="0.35">
      <c r="A3" s="30" t="s">
        <v>0</v>
      </c>
      <c r="B3" s="30" t="s">
        <v>118</v>
      </c>
      <c r="C3" s="30" t="s">
        <v>119</v>
      </c>
      <c r="D3" s="30" t="s">
        <v>120</v>
      </c>
      <c r="E3" s="30" t="s">
        <v>121</v>
      </c>
      <c r="F3" s="30" t="s">
        <v>122</v>
      </c>
      <c r="H3" s="31" t="s">
        <v>123</v>
      </c>
      <c r="I3" s="32" t="s">
        <v>124</v>
      </c>
      <c r="J3" s="32" t="s">
        <v>125</v>
      </c>
      <c r="K3" s="32" t="s">
        <v>126</v>
      </c>
    </row>
    <row r="4" spans="1:11" x14ac:dyDescent="0.35">
      <c r="A4" s="33" t="s">
        <v>127</v>
      </c>
      <c r="B4" s="34">
        <v>2150908779</v>
      </c>
      <c r="C4" s="34">
        <v>2288973410</v>
      </c>
      <c r="D4" s="34">
        <v>2288973410</v>
      </c>
      <c r="E4" s="34">
        <v>2705335155</v>
      </c>
      <c r="F4" s="34">
        <v>3890344943</v>
      </c>
      <c r="H4" s="31" t="s">
        <v>118</v>
      </c>
      <c r="I4" s="35">
        <v>235676095.68439999</v>
      </c>
      <c r="J4" s="35">
        <v>318353748.42124999</v>
      </c>
      <c r="K4" s="35">
        <v>401031401.15810013</v>
      </c>
    </row>
    <row r="5" spans="1:11" x14ac:dyDescent="0.35">
      <c r="A5" s="33" t="s">
        <v>128</v>
      </c>
      <c r="B5" s="34">
        <v>850801390</v>
      </c>
      <c r="C5" s="34">
        <v>960385039</v>
      </c>
      <c r="D5" s="34">
        <v>960385039</v>
      </c>
      <c r="E5" s="34">
        <v>992132243</v>
      </c>
      <c r="F5" s="34">
        <v>1151318677</v>
      </c>
      <c r="H5" s="31" t="s">
        <v>119</v>
      </c>
      <c r="I5" s="35">
        <v>417756681.65664017</v>
      </c>
      <c r="J5" s="35">
        <v>529220410.76733363</v>
      </c>
      <c r="K5" s="35">
        <v>640684139.87802708</v>
      </c>
    </row>
    <row r="6" spans="1:11" x14ac:dyDescent="0.35">
      <c r="A6" s="33" t="s">
        <v>129</v>
      </c>
      <c r="B6" s="34">
        <v>255240417</v>
      </c>
      <c r="C6" s="34">
        <v>288115511.69999999</v>
      </c>
      <c r="D6" s="34">
        <v>288115511.69999999</v>
      </c>
      <c r="E6" s="34">
        <v>297639672.9000001</v>
      </c>
      <c r="F6" s="34">
        <v>345395603.10000008</v>
      </c>
      <c r="H6" s="31" t="s">
        <v>120</v>
      </c>
      <c r="I6" s="35">
        <v>443582072.13523573</v>
      </c>
      <c r="J6" s="35">
        <v>555307482.89087057</v>
      </c>
      <c r="K6" s="35">
        <v>667032893.64650548</v>
      </c>
    </row>
    <row r="7" spans="1:11" x14ac:dyDescent="0.35">
      <c r="A7" s="33" t="s">
        <v>130</v>
      </c>
      <c r="B7" s="34">
        <v>402321209</v>
      </c>
      <c r="C7" s="34">
        <v>31600593</v>
      </c>
      <c r="D7" s="34">
        <v>51145624</v>
      </c>
      <c r="E7" s="34">
        <v>61520998</v>
      </c>
      <c r="F7" s="34">
        <v>832858803</v>
      </c>
      <c r="H7" s="31" t="s">
        <v>121</v>
      </c>
      <c r="I7" s="35">
        <v>485902718.50239962</v>
      </c>
      <c r="J7" s="35">
        <v>616307588.31500006</v>
      </c>
      <c r="K7" s="35">
        <v>746712458.12760031</v>
      </c>
    </row>
    <row r="8" spans="1:11" x14ac:dyDescent="0.35">
      <c r="A8" s="33" t="s">
        <v>131</v>
      </c>
      <c r="B8" s="36">
        <v>0.11169999999999999</v>
      </c>
      <c r="C8" s="36">
        <v>0.12659999999999999</v>
      </c>
      <c r="D8" s="36">
        <v>0.1115</v>
      </c>
      <c r="E8" s="36">
        <v>0.12</v>
      </c>
      <c r="F8" s="36">
        <v>0.1338</v>
      </c>
      <c r="H8" s="31" t="s">
        <v>122</v>
      </c>
      <c r="I8" s="35">
        <v>528312150.94939548</v>
      </c>
      <c r="J8" s="35">
        <v>677720413.07228756</v>
      </c>
      <c r="K8" s="35">
        <v>827128675.19517922</v>
      </c>
    </row>
    <row r="9" spans="1:11" x14ac:dyDescent="0.35">
      <c r="A9" s="33" t="s">
        <v>132</v>
      </c>
      <c r="B9" s="34">
        <v>1106041807</v>
      </c>
      <c r="C9" s="34">
        <v>1248500550.7</v>
      </c>
      <c r="D9" s="34">
        <v>1248500550.7</v>
      </c>
      <c r="E9" s="34">
        <v>1289771915.9000001</v>
      </c>
      <c r="F9" s="34">
        <v>1496714280.0999999</v>
      </c>
    </row>
    <row r="10" spans="1:11" x14ac:dyDescent="0.35">
      <c r="A10" s="33" t="s">
        <v>133</v>
      </c>
      <c r="B10" s="36">
        <v>0</v>
      </c>
      <c r="C10" s="36">
        <v>0.76890000000000003</v>
      </c>
      <c r="D10" s="36">
        <v>0.96899999999999997</v>
      </c>
      <c r="E10" s="36">
        <v>0.7</v>
      </c>
      <c r="F10" s="36">
        <v>0.55000000000000004</v>
      </c>
    </row>
    <row r="11" spans="1:11" x14ac:dyDescent="0.35">
      <c r="A11" s="33" t="s">
        <v>134</v>
      </c>
      <c r="B11" s="36">
        <v>1</v>
      </c>
      <c r="C11" s="36">
        <v>0.2311</v>
      </c>
      <c r="D11" s="36">
        <v>3.1000000000000031E-2</v>
      </c>
      <c r="E11" s="36">
        <v>0.3</v>
      </c>
      <c r="F11" s="36">
        <v>0.45</v>
      </c>
    </row>
    <row r="12" spans="1:11" x14ac:dyDescent="0.35">
      <c r="A12" s="37" t="s">
        <v>135</v>
      </c>
      <c r="B12" s="38">
        <v>401031401.15810013</v>
      </c>
      <c r="C12" s="38">
        <v>640684139.87802708</v>
      </c>
      <c r="D12" s="38">
        <v>667032893.64650548</v>
      </c>
      <c r="E12" s="38">
        <v>746712458.12760031</v>
      </c>
      <c r="F12" s="38">
        <v>827128675.19517922</v>
      </c>
    </row>
    <row r="16" spans="1:11" ht="18.5" x14ac:dyDescent="0.45">
      <c r="A16" s="28" t="s">
        <v>136</v>
      </c>
      <c r="D16" s="29">
        <v>0.2</v>
      </c>
    </row>
    <row r="18" spans="1:11" x14ac:dyDescent="0.35">
      <c r="A18" s="30" t="s">
        <v>0</v>
      </c>
      <c r="B18" s="30" t="s">
        <v>118</v>
      </c>
      <c r="C18" s="30" t="s">
        <v>119</v>
      </c>
      <c r="D18" s="30" t="s">
        <v>120</v>
      </c>
      <c r="E18" s="30" t="s">
        <v>121</v>
      </c>
      <c r="F18" s="30" t="s">
        <v>122</v>
      </c>
      <c r="H18" s="31" t="s">
        <v>123</v>
      </c>
      <c r="I18" s="32" t="s">
        <v>137</v>
      </c>
      <c r="J18" s="32" t="s">
        <v>138</v>
      </c>
      <c r="K18" s="32" t="s">
        <v>139</v>
      </c>
    </row>
    <row r="19" spans="1:11" x14ac:dyDescent="0.35">
      <c r="A19" s="33" t="s">
        <v>127</v>
      </c>
      <c r="B19" s="34">
        <v>2150908779</v>
      </c>
      <c r="C19" s="34">
        <v>2288973410</v>
      </c>
      <c r="D19" s="34">
        <v>2288973410</v>
      </c>
      <c r="E19" s="34">
        <v>2705335155</v>
      </c>
      <c r="F19" s="34">
        <v>3890344943</v>
      </c>
      <c r="H19" s="31" t="s">
        <v>118</v>
      </c>
      <c r="I19" s="35">
        <v>-285826622.98240012</v>
      </c>
      <c r="J19" s="35">
        <v>-324214781.69919997</v>
      </c>
      <c r="K19" s="35">
        <v>-362602940.41600013</v>
      </c>
    </row>
    <row r="20" spans="1:11" x14ac:dyDescent="0.35">
      <c r="A20" s="33" t="s">
        <v>128</v>
      </c>
      <c r="B20" s="34">
        <v>850801390</v>
      </c>
      <c r="C20" s="34">
        <v>960385039</v>
      </c>
      <c r="D20" s="34">
        <v>960385039</v>
      </c>
      <c r="E20" s="34">
        <v>992132243</v>
      </c>
      <c r="F20" s="34">
        <v>1151318677</v>
      </c>
      <c r="H20" s="31" t="s">
        <v>119</v>
      </c>
      <c r="I20" s="35">
        <v>253169894.39051589</v>
      </c>
      <c r="J20" s="35">
        <v>240643319.5774878</v>
      </c>
      <c r="K20" s="35">
        <v>228116744.7644597</v>
      </c>
    </row>
    <row r="21" spans="1:11" x14ac:dyDescent="0.35">
      <c r="A21" s="33" t="s">
        <v>129</v>
      </c>
      <c r="B21" s="34">
        <v>-83038215.664000034</v>
      </c>
      <c r="C21" s="34">
        <v>123697593.02320001</v>
      </c>
      <c r="D21" s="34">
        <v>-16710699.67859995</v>
      </c>
      <c r="E21" s="34">
        <v>148819836.44999981</v>
      </c>
      <c r="F21" s="34">
        <v>184210988.3199999</v>
      </c>
      <c r="H21" s="31" t="s">
        <v>120</v>
      </c>
      <c r="I21" s="35">
        <v>-43326289.154244408</v>
      </c>
      <c r="J21" s="35">
        <v>-44788984.380192593</v>
      </c>
      <c r="K21" s="35">
        <v>-46251679.606140763</v>
      </c>
    </row>
    <row r="22" spans="1:11" x14ac:dyDescent="0.35">
      <c r="A22" s="33" t="s">
        <v>130</v>
      </c>
      <c r="B22" s="34">
        <v>402321209</v>
      </c>
      <c r="C22" s="34">
        <v>31600593</v>
      </c>
      <c r="D22" s="34">
        <v>51145624</v>
      </c>
      <c r="E22" s="34">
        <v>61520998</v>
      </c>
      <c r="F22" s="34">
        <v>832858803</v>
      </c>
      <c r="H22" s="31" t="s">
        <v>121</v>
      </c>
      <c r="I22" s="35">
        <v>345229279.97474951</v>
      </c>
      <c r="J22" s="35">
        <v>328114998.78299952</v>
      </c>
      <c r="K22" s="35">
        <v>311000717.59124953</v>
      </c>
    </row>
    <row r="23" spans="1:11" x14ac:dyDescent="0.35">
      <c r="A23" s="33" t="s">
        <v>131</v>
      </c>
      <c r="B23" s="36">
        <v>0.2</v>
      </c>
      <c r="C23" s="36">
        <v>0.2</v>
      </c>
      <c r="D23" s="36">
        <v>0.2</v>
      </c>
      <c r="E23" s="36">
        <v>0.2</v>
      </c>
      <c r="F23" s="36">
        <v>0.2</v>
      </c>
      <c r="H23" s="31" t="s">
        <v>122</v>
      </c>
      <c r="I23" s="35">
        <v>399049529.9908998</v>
      </c>
      <c r="J23" s="35">
        <v>369000112.52119982</v>
      </c>
      <c r="K23" s="35">
        <v>338950695.05149978</v>
      </c>
    </row>
    <row r="24" spans="1:11" x14ac:dyDescent="0.35">
      <c r="A24" s="33" t="s">
        <v>132</v>
      </c>
      <c r="B24" s="34">
        <v>767763174.33599997</v>
      </c>
      <c r="C24" s="34">
        <v>1084082632.0232</v>
      </c>
      <c r="D24" s="34">
        <v>943674339.32140005</v>
      </c>
      <c r="E24" s="34">
        <v>1140952079.45</v>
      </c>
      <c r="F24" s="34">
        <v>1335529665.3199999</v>
      </c>
    </row>
    <row r="25" spans="1:11" x14ac:dyDescent="0.35">
      <c r="A25" s="33" t="s">
        <v>133</v>
      </c>
      <c r="B25" s="36">
        <v>0</v>
      </c>
      <c r="C25" s="36">
        <v>0.76890000000000003</v>
      </c>
      <c r="D25" s="36">
        <v>0.96899999999999997</v>
      </c>
      <c r="E25" s="36">
        <v>0.7</v>
      </c>
      <c r="F25" s="36">
        <v>0.55000000000000004</v>
      </c>
    </row>
    <row r="26" spans="1:11" x14ac:dyDescent="0.35">
      <c r="A26" s="33" t="s">
        <v>134</v>
      </c>
      <c r="B26" s="36">
        <v>1</v>
      </c>
      <c r="C26" s="36">
        <v>0.2311</v>
      </c>
      <c r="D26" s="36">
        <v>3.1000000000000031E-2</v>
      </c>
      <c r="E26" s="36">
        <v>0.3</v>
      </c>
      <c r="F26" s="36">
        <v>0.45</v>
      </c>
    </row>
    <row r="27" spans="1:11" x14ac:dyDescent="0.35">
      <c r="A27" s="37" t="s">
        <v>135</v>
      </c>
      <c r="B27" s="38">
        <v>-324214781.69919997</v>
      </c>
      <c r="C27" s="38">
        <v>240643319.5774878</v>
      </c>
      <c r="D27" s="38">
        <v>-44788984.380192593</v>
      </c>
      <c r="E27" s="38">
        <v>328114998.78299952</v>
      </c>
      <c r="F27" s="38">
        <v>369000112.52119982</v>
      </c>
    </row>
    <row r="31" spans="1:11" ht="18.5" x14ac:dyDescent="0.45">
      <c r="A31" s="28" t="s">
        <v>140</v>
      </c>
      <c r="D31" s="29">
        <v>0.9</v>
      </c>
    </row>
    <row r="33" spans="1:11" x14ac:dyDescent="0.35">
      <c r="A33" s="30" t="s">
        <v>0</v>
      </c>
      <c r="B33" s="30" t="s">
        <v>118</v>
      </c>
      <c r="C33" s="30" t="s">
        <v>119</v>
      </c>
      <c r="D33" s="30" t="s">
        <v>120</v>
      </c>
      <c r="E33" s="30" t="s">
        <v>121</v>
      </c>
      <c r="F33" s="30" t="s">
        <v>122</v>
      </c>
      <c r="H33" s="31" t="s">
        <v>123</v>
      </c>
      <c r="I33" s="32" t="s">
        <v>141</v>
      </c>
      <c r="J33" s="32" t="s">
        <v>142</v>
      </c>
      <c r="K33" s="32" t="s">
        <v>143</v>
      </c>
    </row>
    <row r="34" spans="1:11" x14ac:dyDescent="0.35">
      <c r="A34" s="33" t="s">
        <v>127</v>
      </c>
      <c r="B34" s="34">
        <v>2150908779</v>
      </c>
      <c r="C34" s="34">
        <v>2288973410</v>
      </c>
      <c r="D34" s="34">
        <v>2288973410</v>
      </c>
      <c r="E34" s="34">
        <v>2705335155</v>
      </c>
      <c r="F34" s="34">
        <v>3890344943</v>
      </c>
      <c r="H34" s="31" t="s">
        <v>118</v>
      </c>
      <c r="I34" s="35">
        <v>-239269464.09066501</v>
      </c>
      <c r="J34" s="35">
        <v>-247845378.74799809</v>
      </c>
      <c r="K34" s="35">
        <v>-256421293.40533131</v>
      </c>
    </row>
    <row r="35" spans="1:11" x14ac:dyDescent="0.35">
      <c r="A35" s="33" t="s">
        <v>128</v>
      </c>
      <c r="B35" s="34">
        <v>850801390</v>
      </c>
      <c r="C35" s="34">
        <v>960385039</v>
      </c>
      <c r="D35" s="34">
        <v>960385039</v>
      </c>
      <c r="E35" s="34">
        <v>992132243</v>
      </c>
      <c r="F35" s="34">
        <v>1151318677</v>
      </c>
      <c r="H35" s="31" t="s">
        <v>119</v>
      </c>
      <c r="I35" s="35">
        <v>180953729.8582904</v>
      </c>
      <c r="J35" s="35">
        <v>167229243.7368767</v>
      </c>
      <c r="K35" s="35">
        <v>153504757.61546299</v>
      </c>
    </row>
    <row r="36" spans="1:11" x14ac:dyDescent="0.35">
      <c r="A36" s="33" t="s">
        <v>129</v>
      </c>
      <c r="B36" s="34">
        <v>-83038215.664000034</v>
      </c>
      <c r="C36" s="34">
        <v>123697593.02320001</v>
      </c>
      <c r="D36" s="34">
        <v>-16710699.67859995</v>
      </c>
      <c r="E36" s="34">
        <v>148819836.44999981</v>
      </c>
      <c r="F36" s="34">
        <v>184210988.3199999</v>
      </c>
      <c r="H36" s="31" t="s">
        <v>120</v>
      </c>
      <c r="I36" s="35">
        <v>-123113954.5438688</v>
      </c>
      <c r="J36" s="35">
        <v>-133635923.42730241</v>
      </c>
      <c r="K36" s="35">
        <v>-144157892.310736</v>
      </c>
    </row>
    <row r="37" spans="1:11" x14ac:dyDescent="0.35">
      <c r="A37" s="33" t="s">
        <v>130</v>
      </c>
      <c r="B37" s="34">
        <v>402321209</v>
      </c>
      <c r="C37" s="34">
        <v>31600593</v>
      </c>
      <c r="D37" s="34">
        <v>51145624</v>
      </c>
      <c r="E37" s="34">
        <v>61520998</v>
      </c>
      <c r="F37" s="34">
        <v>832858803</v>
      </c>
      <c r="H37" s="31" t="s">
        <v>121</v>
      </c>
      <c r="I37" s="35">
        <v>287040723.92279953</v>
      </c>
      <c r="J37" s="35">
        <v>273349298.96939951</v>
      </c>
      <c r="K37" s="35">
        <v>259657874.0159995</v>
      </c>
    </row>
    <row r="38" spans="1:11" x14ac:dyDescent="0.35">
      <c r="A38" s="33" t="s">
        <v>131</v>
      </c>
      <c r="B38" s="36">
        <v>0.11169999999999999</v>
      </c>
      <c r="C38" s="36">
        <v>0.12659999999999999</v>
      </c>
      <c r="D38" s="36">
        <v>0.1115</v>
      </c>
      <c r="E38" s="36">
        <v>0.12</v>
      </c>
      <c r="F38" s="36">
        <v>0.1338</v>
      </c>
      <c r="H38" s="31" t="s">
        <v>122</v>
      </c>
      <c r="I38" s="35">
        <v>346242687.02414697</v>
      </c>
      <c r="J38" s="35">
        <v>328373300.1021654</v>
      </c>
      <c r="K38" s="35">
        <v>310503913.18018383</v>
      </c>
    </row>
    <row r="39" spans="1:11" x14ac:dyDescent="0.35">
      <c r="A39" s="33" t="s">
        <v>132</v>
      </c>
      <c r="B39" s="34">
        <v>767763174.33599997</v>
      </c>
      <c r="C39" s="34">
        <v>1084082632.0232</v>
      </c>
      <c r="D39" s="34">
        <v>943674339.32140005</v>
      </c>
      <c r="E39" s="34">
        <v>1140952079.45</v>
      </c>
      <c r="F39" s="34">
        <v>1335529665.3199999</v>
      </c>
    </row>
    <row r="40" spans="1:11" x14ac:dyDescent="0.35">
      <c r="A40" s="33" t="s">
        <v>133</v>
      </c>
      <c r="B40" s="36">
        <v>9.9999999999999978E-2</v>
      </c>
      <c r="C40" s="36">
        <v>9.9999999999999978E-2</v>
      </c>
      <c r="D40" s="36">
        <v>9.9999999999999978E-2</v>
      </c>
      <c r="E40" s="36">
        <v>9.9999999999999978E-2</v>
      </c>
      <c r="F40" s="36">
        <v>9.9999999999999978E-2</v>
      </c>
    </row>
    <row r="41" spans="1:11" x14ac:dyDescent="0.35">
      <c r="A41" s="33" t="s">
        <v>134</v>
      </c>
      <c r="B41" s="36">
        <v>0.9</v>
      </c>
      <c r="C41" s="36">
        <v>0.9</v>
      </c>
      <c r="D41" s="36">
        <v>0.9</v>
      </c>
      <c r="E41" s="36">
        <v>0.9</v>
      </c>
      <c r="F41" s="36">
        <v>0.9</v>
      </c>
    </row>
    <row r="42" spans="1:11" x14ac:dyDescent="0.35">
      <c r="A42" s="37" t="s">
        <v>135</v>
      </c>
      <c r="B42" s="38">
        <v>-247845378.74799809</v>
      </c>
      <c r="C42" s="38">
        <v>167229243.7368767</v>
      </c>
      <c r="D42" s="38">
        <v>-133635923.42730241</v>
      </c>
      <c r="E42" s="38">
        <v>273349298.96939951</v>
      </c>
      <c r="F42" s="38">
        <v>328373300.1021654</v>
      </c>
    </row>
    <row r="46" spans="1:11" ht="18.5" x14ac:dyDescent="0.45">
      <c r="A46" s="28" t="s">
        <v>144</v>
      </c>
      <c r="D46" s="29">
        <v>1.2</v>
      </c>
    </row>
    <row r="48" spans="1:11" x14ac:dyDescent="0.35">
      <c r="A48" s="30" t="s">
        <v>0</v>
      </c>
      <c r="B48" s="30" t="s">
        <v>118</v>
      </c>
      <c r="C48" s="30" t="s">
        <v>119</v>
      </c>
      <c r="D48" s="30" t="s">
        <v>120</v>
      </c>
      <c r="E48" s="30" t="s">
        <v>121</v>
      </c>
      <c r="F48" s="30" t="s">
        <v>122</v>
      </c>
      <c r="H48" s="31" t="s">
        <v>123</v>
      </c>
      <c r="I48" s="32" t="s">
        <v>145</v>
      </c>
      <c r="J48" s="32" t="s">
        <v>146</v>
      </c>
      <c r="K48" s="32" t="s">
        <v>147</v>
      </c>
    </row>
    <row r="49" spans="1:11" x14ac:dyDescent="0.35">
      <c r="A49" s="33" t="s">
        <v>127</v>
      </c>
      <c r="B49" s="34">
        <v>2581090534.8000002</v>
      </c>
      <c r="C49" s="34">
        <v>2746768092</v>
      </c>
      <c r="D49" s="34">
        <v>2746768092</v>
      </c>
      <c r="E49" s="34">
        <v>3246402186</v>
      </c>
      <c r="F49" s="34">
        <v>4668413931.5999994</v>
      </c>
      <c r="H49" s="31" t="s">
        <v>118</v>
      </c>
      <c r="I49" s="35">
        <v>-235428423.72229129</v>
      </c>
      <c r="J49" s="35">
        <v>-277414163.08837128</v>
      </c>
      <c r="K49" s="35">
        <v>-298407032.77141118</v>
      </c>
    </row>
    <row r="50" spans="1:11" x14ac:dyDescent="0.35">
      <c r="A50" s="33" t="s">
        <v>128</v>
      </c>
      <c r="B50" s="34">
        <v>850801390</v>
      </c>
      <c r="C50" s="34">
        <v>960385039</v>
      </c>
      <c r="D50" s="34">
        <v>960385039</v>
      </c>
      <c r="E50" s="34">
        <v>992132243</v>
      </c>
      <c r="F50" s="34">
        <v>1151318677</v>
      </c>
      <c r="H50" s="31" t="s">
        <v>119</v>
      </c>
      <c r="I50" s="35">
        <v>229550353.882213</v>
      </c>
      <c r="J50" s="35">
        <v>288514308.92381299</v>
      </c>
      <c r="K50" s="35">
        <v>317996286.44461292</v>
      </c>
    </row>
    <row r="51" spans="1:11" x14ac:dyDescent="0.35">
      <c r="A51" s="33" t="s">
        <v>129</v>
      </c>
      <c r="B51" s="34">
        <v>-83038215.664000034</v>
      </c>
      <c r="C51" s="34">
        <v>123697593.02320001</v>
      </c>
      <c r="D51" s="34">
        <v>-16710699.67859995</v>
      </c>
      <c r="E51" s="34">
        <v>148819836.44999981</v>
      </c>
      <c r="F51" s="34">
        <v>184210988.3199999</v>
      </c>
      <c r="H51" s="31" t="s">
        <v>120</v>
      </c>
      <c r="I51" s="35">
        <v>-38217200.096864328</v>
      </c>
      <c r="J51" s="35">
        <v>-46182827.56366431</v>
      </c>
      <c r="K51" s="35">
        <v>-50165641.297064289</v>
      </c>
    </row>
    <row r="52" spans="1:11" x14ac:dyDescent="0.35">
      <c r="A52" s="33" t="s">
        <v>130</v>
      </c>
      <c r="B52" s="34">
        <v>402321209</v>
      </c>
      <c r="C52" s="34">
        <v>31600593</v>
      </c>
      <c r="D52" s="34">
        <v>51145624</v>
      </c>
      <c r="E52" s="34">
        <v>61520998</v>
      </c>
      <c r="F52" s="34">
        <v>832858803</v>
      </c>
      <c r="H52" s="31" t="s">
        <v>121</v>
      </c>
      <c r="I52" s="35">
        <v>314917821.36479962</v>
      </c>
      <c r="J52" s="35">
        <v>396077876.01479948</v>
      </c>
      <c r="K52" s="35">
        <v>436657903.3397994</v>
      </c>
    </row>
    <row r="53" spans="1:11" x14ac:dyDescent="0.35">
      <c r="A53" s="33" t="s">
        <v>131</v>
      </c>
      <c r="B53" s="36">
        <v>0.11169999999999999</v>
      </c>
      <c r="C53" s="36">
        <v>0.12659999999999999</v>
      </c>
      <c r="D53" s="36">
        <v>0.1115</v>
      </c>
      <c r="E53" s="36">
        <v>0.12</v>
      </c>
      <c r="F53" s="36">
        <v>0.1338</v>
      </c>
      <c r="H53" s="31" t="s">
        <v>122</v>
      </c>
      <c r="I53" s="35">
        <v>346540022.16308272</v>
      </c>
      <c r="J53" s="35">
        <v>471031060.33908248</v>
      </c>
      <c r="K53" s="35">
        <v>533276579.42708248</v>
      </c>
    </row>
    <row r="54" spans="1:11" x14ac:dyDescent="0.35">
      <c r="A54" s="33" t="s">
        <v>132</v>
      </c>
      <c r="B54" s="34">
        <v>767763174.33599997</v>
      </c>
      <c r="C54" s="34">
        <v>1084082632.0232</v>
      </c>
      <c r="D54" s="34">
        <v>943674339.32140005</v>
      </c>
      <c r="E54" s="34">
        <v>1140952079.45</v>
      </c>
      <c r="F54" s="34">
        <v>1335529665.3199999</v>
      </c>
    </row>
    <row r="55" spans="1:11" x14ac:dyDescent="0.35">
      <c r="A55" s="33" t="s">
        <v>133</v>
      </c>
      <c r="B55" s="36">
        <v>0</v>
      </c>
      <c r="C55" s="36">
        <v>0.76890000000000003</v>
      </c>
      <c r="D55" s="36">
        <v>0.96899999999999997</v>
      </c>
      <c r="E55" s="36">
        <v>0.7</v>
      </c>
      <c r="F55" s="36">
        <v>0.55000000000000004</v>
      </c>
    </row>
    <row r="56" spans="1:11" x14ac:dyDescent="0.35">
      <c r="A56" s="33" t="s">
        <v>134</v>
      </c>
      <c r="B56" s="36">
        <v>1</v>
      </c>
      <c r="C56" s="36">
        <v>0.2311</v>
      </c>
      <c r="D56" s="36">
        <v>3.1000000000000031E-2</v>
      </c>
      <c r="E56" s="36">
        <v>0.3</v>
      </c>
      <c r="F56" s="36">
        <v>0.45</v>
      </c>
    </row>
    <row r="57" spans="1:11" x14ac:dyDescent="0.35">
      <c r="A57" s="37" t="s">
        <v>135</v>
      </c>
      <c r="B57" s="38">
        <v>-298407032.77141118</v>
      </c>
      <c r="C57" s="38">
        <v>317996286.44461292</v>
      </c>
      <c r="D57" s="38">
        <v>-50165641.297064289</v>
      </c>
      <c r="E57" s="38">
        <v>436657903.3397994</v>
      </c>
      <c r="F57" s="38">
        <v>533276579.42708248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Comparative Income Statement</vt:lpstr>
      <vt:lpstr>Comparative Balance Sheet</vt:lpstr>
      <vt:lpstr>4-Year Working Capital Ratios</vt:lpstr>
      <vt:lpstr>4-Year AFN Estimate</vt:lpstr>
      <vt:lpstr>Sensivity to AFN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Prodipto Das Koushik</cp:lastModifiedBy>
  <dcterms:created xsi:type="dcterms:W3CDTF">2026-05-27T20:04:05Z</dcterms:created>
  <dcterms:modified xsi:type="dcterms:W3CDTF">2026-05-29T12:32:19Z</dcterms:modified>
</cp:coreProperties>
</file>